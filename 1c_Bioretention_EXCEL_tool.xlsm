
<file path=[Content_Types].xml><?xml version="1.0" encoding="utf-8"?>
<Types xmlns="http://schemas.openxmlformats.org/package/2006/content-type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workbookPr codeName="ThisWorkbook" defaultThemeVersion="202300"/>
  <mc:AlternateContent xmlns:mc="http://schemas.openxmlformats.org/markup-compatibility/2006">
    <mc:Choice Requires="x15">
      <x15ac:absPath xmlns:x15ac="http://schemas.microsoft.com/office/spreadsheetml/2010/11/ac" url="C:\Users\nluan\Downloads\"/>
    </mc:Choice>
  </mc:AlternateContent>
  <xr:revisionPtr revIDLastSave="0" documentId="13_ncr:1_{D0C744E5-C90A-49EC-B6B9-D34471C7F38D}" xr6:coauthVersionLast="47" xr6:coauthVersionMax="47" xr10:uidLastSave="{00000000-0000-0000-0000-000000000000}"/>
  <bookViews>
    <workbookView xWindow="-110" yWindow="-110" windowWidth="19420" windowHeight="11500" xr2:uid="{A5727387-FD54-4F93-82EF-376106F9F800}"/>
  </bookViews>
  <sheets>
    <sheet name="Title Page" sheetId="8" r:id="rId1"/>
    <sheet name="INPUT" sheetId="3" r:id="rId2"/>
    <sheet name="OUTPUT" sheetId="4" r:id="rId3"/>
    <sheet name="Bioretention Constraints" sheetId="6" r:id="rId4"/>
    <sheet name="Lookup Tables" sheetId="5" r:id="rId5"/>
  </sheets>
  <definedNames>
    <definedName name="area">'Bioretention Constraints'!$C$18</definedName>
    <definedName name="default_irrigation_gpm">" "</definedName>
    <definedName name="default_nh4_mgl">'Lookup Tables'!$B$24</definedName>
    <definedName name="default_nitrate_nitrite_mgl">'Lookup Tables'!$B$28</definedName>
    <definedName name="default_no2_mgl">'Lookup Tables'!$B$25</definedName>
    <definedName name="default_no3_mgl">'Lookup Tables'!$B$26</definedName>
    <definedName name="default_tin_mgl">'Lookup Tables'!$B$27</definedName>
    <definedName name="default_tp_mgl">'Lookup Tables'!$B$29</definedName>
    <definedName name="design_type">'Bioretention Constraints'!$C$11</definedName>
    <definedName name="EBCT">'Bioretention Constraints'!$C$12</definedName>
    <definedName name="flow_rate">'Bioretention Constraints'!$C$21</definedName>
    <definedName name="height">'Bioretention Constraints'!$C$15</definedName>
    <definedName name="hlr">'Bioretention Constraints'!$C$20</definedName>
    <definedName name="hydraulic_loading_rate">'Bioretention Constraints'!$F$20</definedName>
    <definedName name="influent_contaminant_concentration">'Bioretention Constraints'!$C$9</definedName>
    <definedName name="intercept_cba_nh4">'Lookup Tables'!$C$46</definedName>
    <definedName name="intercept_cba_nitrate_nitrite">'Lookup Tables'!$C$54</definedName>
    <definedName name="intercept_cba_no2">'Lookup Tables'!$C$48</definedName>
    <definedName name="intercept_cba_no3">'Lookup Tables'!$C$50</definedName>
    <definedName name="intercept_cba_tin">'Lookup Tables'!$C$52</definedName>
    <definedName name="intercept_cba_tp">'Lookup Tables'!$C$56</definedName>
    <definedName name="intercept_pba_nh4">'Lookup Tables'!$C$47</definedName>
    <definedName name="intercept_pba_nitrate_nitrite">'Lookup Tables'!$C$55</definedName>
    <definedName name="intercept_pba_no2">'Lookup Tables'!$C$49</definedName>
    <definedName name="intercept_pba_no3">'Lookup Tables'!$C$51</definedName>
    <definedName name="intercept_pba_tin">'Lookup Tables'!$C$53</definedName>
    <definedName name="intercept_pba_tp">'Lookup Tables'!$C$57</definedName>
    <definedName name="irrigated_area">'Bioretention Constraints'!$C$6</definedName>
    <definedName name="irrigated_area_units">INPUT!$D$3</definedName>
    <definedName name="irrigation_rate">'Bioretention Constraints'!$C$7</definedName>
    <definedName name="irrigation_rate_units">INPUT!$D$6</definedName>
    <definedName name="iwsz_volume">'Bioretention Constraints'!$C$19</definedName>
    <definedName name="length">'Bioretention Constraints'!$C$16</definedName>
    <definedName name="manually_input_contaminant_concentration">INPUT!$C$12</definedName>
    <definedName name="manually_input_contaminant_concentration_unit">INPUT!$D$12</definedName>
    <definedName name="manually_input_irrigated_acreage">INPUT!$C$3</definedName>
    <definedName name="manually_input_irrigation_rate">INPUT!$C$6</definedName>
    <definedName name="NLR">OUTPUT!$C$17</definedName>
    <definedName name="NRR">OUTPUT!$C$19</definedName>
    <definedName name="outlet_height">'Bioretention Constraints'!$F$15</definedName>
    <definedName name="size">'Bioretention Constraints'!$C$10</definedName>
    <definedName name="slope_cba_nh4">'Lookup Tables'!$B$46</definedName>
    <definedName name="slope_cba_nitrate_nitrite">'Lookup Tables'!$B$54</definedName>
    <definedName name="slope_cba_no2">'Lookup Tables'!$B$48</definedName>
    <definedName name="slope_cba_no3">'Lookup Tables'!$B$50</definedName>
    <definedName name="slope_cba_tin">'Lookup Tables'!$B$52</definedName>
    <definedName name="slope_cba_tp">'Lookup Tables'!$B$56</definedName>
    <definedName name="slope_pba_nh4">'Lookup Tables'!$B$47</definedName>
    <definedName name="slope_pba_nitrate_nitrite">'Lookup Tables'!$B$55</definedName>
    <definedName name="slope_pba_no2">'Lookup Tables'!$B$49</definedName>
    <definedName name="slope_pba_no3">'Lookup Tables'!$B$51</definedName>
    <definedName name="slope_pba_tin">'Lookup Tables'!$B$53</definedName>
    <definedName name="slope_pba_tp">'Lookup Tables'!$B$57</definedName>
    <definedName name="ss_cat">OUTPUT!$C$4</definedName>
    <definedName name="target_contaminant">'Bioretention Constraints'!$C$8</definedName>
    <definedName name="width">'Bioretention Constraints'!$C$17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3" l="1" a="1"/>
  <c r="C12" i="3" s="1"/>
  <c r="L12" i="3"/>
  <c r="J12" i="3"/>
  <c r="C5" i="4"/>
  <c r="C6" i="4"/>
  <c r="B12" i="5" l="1"/>
  <c r="C12" i="4"/>
  <c r="C7" i="6" l="1"/>
  <c r="C9" i="6" l="1"/>
  <c r="F20" i="6"/>
  <c r="F8" i="4" s="1"/>
  <c r="F15" i="6"/>
  <c r="F11" i="4" s="1"/>
  <c r="C13" i="4"/>
  <c r="C18" i="6"/>
  <c r="C15" i="6"/>
  <c r="C11" i="4" s="1"/>
  <c r="C16" i="4" l="1" a="1"/>
  <c r="C16" i="4" s="1"/>
  <c r="C19" i="6"/>
  <c r="C6" i="6" l="1"/>
  <c r="C20" i="6" s="1"/>
  <c r="C21" i="6" s="1"/>
  <c r="C8" i="4" l="1"/>
  <c r="C7" i="4" l="1"/>
  <c r="F7" i="4" s="1"/>
  <c r="C12" i="6" a="1"/>
  <c r="C12" i="6" s="1"/>
  <c r="C9" i="4" l="1"/>
  <c r="F9" i="4" s="1"/>
  <c r="C17" i="4"/>
  <c r="C19" i="4" s="1"/>
  <c r="C21" i="4" l="1"/>
  <c r="C18"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L26" authorId="0" shapeId="0" xr:uid="{12F26547-7225-45EC-80F1-18ADEAD081F4}">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C526A538-1552-4FE0-AAEC-FB515017A2B7}">
      <text>
        <r>
          <rPr>
            <b/>
            <sz val="9"/>
            <color indexed="81"/>
            <rFont val="Tahoma"/>
            <family val="2"/>
          </rPr>
          <t>Internal use</t>
        </r>
      </text>
    </comment>
    <comment ref="C4" authorId="1" shapeId="0" xr:uid="{B8A5C66D-0D27-4CE8-9B72-3C98553C27A8}">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Natchaya Luangphairin</author>
  </authors>
  <commentList>
    <comment ref="A11" authorId="0" shapeId="0" xr:uid="{5ECCB528-4093-49A5-8DF7-5B05EE2BD6E9}">
      <text>
        <r>
          <rPr>
            <b/>
            <sz val="9"/>
            <color indexed="81"/>
            <rFont val="Tahoma"/>
            <family val="2"/>
          </rPr>
          <t>Natchaya Luangphairin:</t>
        </r>
        <r>
          <rPr>
            <sz val="9"/>
            <color indexed="81"/>
            <rFont val="Tahoma"/>
            <family val="2"/>
          </rPr>
          <t xml:space="preserve">
Roughly, a container nursery with 70 percent of the land surface in production uses ~ 15,000 gallons of irrigation water per day per acre of land (translate to about 0.53 inch of irrigation water applied per day).  Typically,  60 to 70 percent this water is runoff (either water leaching below the root zone or falling on area that do not have plants) so guestimate 8000 gallons of runoff per acre per day.  </t>
        </r>
      </text>
    </comment>
    <comment ref="E12" authorId="0" shapeId="0" xr:uid="{4A29B0B7-0A84-45E6-A691-AB73CD470E9E}">
      <text>
        <r>
          <rPr>
            <b/>
            <sz val="9"/>
            <color indexed="81"/>
            <rFont val="Tahoma"/>
            <family val="2"/>
          </rPr>
          <t>Natchaya Luangphairin:</t>
        </r>
        <r>
          <rPr>
            <sz val="9"/>
            <color indexed="81"/>
            <rFont val="Tahoma"/>
            <family val="2"/>
          </rPr>
          <t xml:space="preserve">
Source: Fulcher and T. Fernandez (2021). Sustainable Nursery Irrigation Management Series, Part I Water Use in Nursery Production. UT Institute of Agriculture</t>
        </r>
      </text>
    </comment>
    <comment ref="A23" authorId="0" shapeId="0" xr:uid="{95154EBF-3AB3-428B-9BD7-B672BB7563E9}">
      <text>
        <r>
          <rPr>
            <b/>
            <sz val="9"/>
            <color indexed="81"/>
            <rFont val="Tahoma"/>
            <family val="2"/>
          </rPr>
          <t>Natchaya Luangphairin:</t>
        </r>
        <r>
          <rPr>
            <sz val="9"/>
            <color indexed="81"/>
            <rFont val="Tahoma"/>
            <family val="2"/>
          </rPr>
          <t xml:space="preserve">
* values based on Holmberg Farm's average (rounded to 1 sigfig).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<sst xmlns="http://schemas.openxmlformats.org/spreadsheetml/2006/main" count="299" uniqueCount="195">
  <si>
    <t>BIORETENTION SYSTEM DESIGN AND COST INPUT</t>
  </si>
  <si>
    <t>STEP 1</t>
  </si>
  <si>
    <t>STEP 2</t>
  </si>
  <si>
    <t>STEP 3</t>
  </si>
  <si>
    <t>STEP 4</t>
  </si>
  <si>
    <t>Select Bioretention Design Type</t>
  </si>
  <si>
    <t>STEP 5</t>
  </si>
  <si>
    <t>Parameter</t>
  </si>
  <si>
    <t>Technology</t>
  </si>
  <si>
    <t>Value</t>
  </si>
  <si>
    <t>Units</t>
  </si>
  <si>
    <t>Target Contaminant</t>
  </si>
  <si>
    <t>Design Type</t>
  </si>
  <si>
    <t>Average Flow</t>
  </si>
  <si>
    <t>EBCT</t>
  </si>
  <si>
    <t>Width</t>
  </si>
  <si>
    <t>Length</t>
  </si>
  <si>
    <t>Manually input nutrient concentrations OR leave as "DEFAULT" value</t>
  </si>
  <si>
    <t>Select units</t>
  </si>
  <si>
    <t>Manually input irrigated acreage</t>
  </si>
  <si>
    <t>RESULTS</t>
  </si>
  <si>
    <t>GPM</t>
  </si>
  <si>
    <t>mg/L</t>
  </si>
  <si>
    <t>Select Target Contaminant</t>
  </si>
  <si>
    <t>Lookup Tables and Input Validation</t>
  </si>
  <si>
    <t>This sheet is used internally to perform certain reference calculations and support input sheet data validation</t>
  </si>
  <si>
    <t>Irrigation Rate</t>
  </si>
  <si>
    <t>MGD</t>
  </si>
  <si>
    <t>NH4-N</t>
  </si>
  <si>
    <t>NO3-N</t>
  </si>
  <si>
    <t>TP</t>
  </si>
  <si>
    <t>Bioretention Design Type</t>
  </si>
  <si>
    <t>NO2-N</t>
  </si>
  <si>
    <t>Completely Biochar Amended (CBA)</t>
  </si>
  <si>
    <t>Partially Biochar Amended (PBA)</t>
  </si>
  <si>
    <t>No Biochar</t>
  </si>
  <si>
    <t>Bioreactor Constraint Calculations</t>
  </si>
  <si>
    <t>This sheet performs calculations to confirm that the vessel design on the Input page meets engineering constraints</t>
  </si>
  <si>
    <t>Calculation</t>
  </si>
  <si>
    <t>Range Name</t>
  </si>
  <si>
    <t>Guidance</t>
  </si>
  <si>
    <t>From Inputs</t>
  </si>
  <si>
    <t>Design type chosen</t>
  </si>
  <si>
    <t>design_type</t>
  </si>
  <si>
    <t>Empty bed contact time or Hydraulic Residence Time</t>
  </si>
  <si>
    <t>minutes</t>
  </si>
  <si>
    <t>Irrigated Acreage</t>
  </si>
  <si>
    <t>irrigation_rate</t>
  </si>
  <si>
    <t>target_contaminant</t>
  </si>
  <si>
    <t>&lt;-- 1 for CBA, 2 for BPA, 3 for No Biochar</t>
  </si>
  <si>
    <t>size</t>
  </si>
  <si>
    <t>Bioretention Size</t>
  </si>
  <si>
    <t>&lt;-- 1 for 1%, 2 for 2.5%, 3 for 5%</t>
  </si>
  <si>
    <t>Select Bioretention size (% area used for bioretention)</t>
  </si>
  <si>
    <t>acres</t>
  </si>
  <si>
    <t>L/s</t>
  </si>
  <si>
    <t>cm^3/min</t>
  </si>
  <si>
    <t>cm^2</t>
  </si>
  <si>
    <t>m^3/s</t>
  </si>
  <si>
    <t>Bioretention Tanks</t>
  </si>
  <si>
    <t>Outlet Height</t>
  </si>
  <si>
    <t>outlet_height</t>
  </si>
  <si>
    <t>height</t>
  </si>
  <si>
    <t>width</t>
  </si>
  <si>
    <t>length</t>
  </si>
  <si>
    <t>BRT</t>
  </si>
  <si>
    <t>Lower</t>
  </si>
  <si>
    <t>Upper</t>
  </si>
  <si>
    <t>Contaminant Concentration</t>
  </si>
  <si>
    <t>contaminant_concentration</t>
  </si>
  <si>
    <t>Manually input irrigation rate (average runoff flow rate)</t>
  </si>
  <si>
    <t>g/L</t>
  </si>
  <si>
    <t>Hydraulic Loading rate</t>
  </si>
  <si>
    <t>irrigated_area</t>
  </si>
  <si>
    <t>cm/min</t>
  </si>
  <si>
    <t>cm</t>
  </si>
  <si>
    <t>Area</t>
  </si>
  <si>
    <t>IWSZ Volume</t>
  </si>
  <si>
    <t>iwsz_volume</t>
  </si>
  <si>
    <t>area</t>
  </si>
  <si>
    <t>cm^3</t>
  </si>
  <si>
    <t>Flow Rate</t>
  </si>
  <si>
    <t>Hydraulic Loading Rate</t>
  </si>
  <si>
    <t>hlr</t>
  </si>
  <si>
    <t>flow_rate</t>
  </si>
  <si>
    <t>Removal Efficiency</t>
  </si>
  <si>
    <t>min</t>
  </si>
  <si>
    <t>Regression</t>
  </si>
  <si>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</si>
  <si>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</si>
  <si>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</si>
  <si>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</si>
  <si>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</si>
  <si>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</si>
  <si>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Bioretention Treatment of Agricultural Runoff</t>
  </si>
  <si>
    <t>FDACS Office of Agricultural Water Policy (OAWP)</t>
  </si>
  <si>
    <t>Release Date: June 2024</t>
  </si>
  <si>
    <t>=</t>
  </si>
  <si>
    <t>slope</t>
  </si>
  <si>
    <t>intercept</t>
  </si>
  <si>
    <t>Contaminant</t>
  </si>
  <si>
    <t>BRT Type</t>
  </si>
  <si>
    <t>CBA</t>
  </si>
  <si>
    <t>PBA</t>
  </si>
  <si>
    <t>NLR</t>
  </si>
  <si>
    <t>Ceff</t>
  </si>
  <si>
    <t>Cinf</t>
  </si>
  <si>
    <t>mg/(L-day)</t>
  </si>
  <si>
    <t>NRR</t>
  </si>
  <si>
    <t>· To see results, go to the OUTPUT sheet.</t>
  </si>
  <si>
    <t>hr</t>
  </si>
  <si>
    <t>L/min</t>
  </si>
  <si>
    <r>
      <rPr>
        <sz val="10"/>
        <rFont val="Symbol"/>
        <family val="1"/>
        <charset val="2"/>
      </rPr>
      <t>·</t>
    </r>
    <r>
      <rPr>
        <sz val="10"/>
        <rFont val="Arial"/>
        <family val="2"/>
      </rPr>
      <t xml:space="preserve"> Users should review all documentation, modify inputs/assumptions as appropriate to their specific purpose, and form their own informed opinions about the accuracy and suitability of the results.</t>
    </r>
  </si>
  <si>
    <t>Plant</t>
  </si>
  <si>
    <t>Yes</t>
  </si>
  <si>
    <t>HLR Type</t>
  </si>
  <si>
    <t>Low</t>
  </si>
  <si>
    <t>Medium</t>
  </si>
  <si>
    <t>High</t>
  </si>
  <si>
    <t>hydraulic_loading_rate</t>
  </si>
  <si>
    <t>(e.g. Muhly grass)</t>
  </si>
  <si>
    <t>Line Type</t>
  </si>
  <si>
    <t>linear</t>
  </si>
  <si>
    <t>logarithmic</t>
  </si>
  <si>
    <t>R^2</t>
  </si>
  <si>
    <t>Target Contaminant Default Value</t>
  </si>
  <si>
    <t>*most values were negative, used only 3 data points</t>
  </si>
  <si>
    <t>* outliers removed</t>
  </si>
  <si>
    <t>*most values were negative, used only 2 data points</t>
  </si>
  <si>
    <t>&lt;-- enter value otherwise DEFAULT value</t>
  </si>
  <si>
    <r>
      <t>OUTPUT SUMMARY</t>
    </r>
    <r>
      <rPr>
        <sz val="12"/>
        <rFont val="Arial"/>
        <family val="2"/>
      </rPr>
      <t xml:space="preserve"> </t>
    </r>
  </si>
  <si>
    <t>(Recommended Design for maximum nutrient removal)</t>
  </si>
  <si>
    <r>
      <t>·</t>
    </r>
    <r>
      <rPr>
        <sz val="10"/>
        <rFont val="Times New Roman"/>
        <family val="1"/>
      </rPr>
      <t> </t>
    </r>
    <r>
      <rPr>
        <sz val="10"/>
        <rFont val="Arial"/>
        <family val="2"/>
      </rPr>
      <t>The primary purpose of this model is to assist farmers in designing bioretention systems to treat agricultural runoff and estimate costs</t>
    </r>
  </si>
  <si>
    <r>
      <t>Direct Capital Cost Details</t>
    </r>
    <r>
      <rPr>
        <b/>
        <sz val="12"/>
        <color indexed="12"/>
        <rFont val="Arial"/>
        <family val="2"/>
      </rPr>
      <t xml:space="preserve"> </t>
    </r>
  </si>
  <si>
    <t>WBS #</t>
  </si>
  <si>
    <t>Item</t>
  </si>
  <si>
    <t>Design Quanitity</t>
  </si>
  <si>
    <t>Design Size</t>
  </si>
  <si>
    <t>Size used in estimate</t>
  </si>
  <si>
    <t>Unit Cost</t>
  </si>
  <si>
    <t>Total Cost</t>
  </si>
  <si>
    <t>Useful Life</t>
  </si>
  <si>
    <t>Use?</t>
  </si>
  <si>
    <t>1</t>
  </si>
  <si>
    <t>1.1.1</t>
  </si>
  <si>
    <t>units</t>
  </si>
  <si>
    <t>1.2.1</t>
  </si>
  <si>
    <t>1.2.2</t>
  </si>
  <si>
    <t>1.2.3</t>
  </si>
  <si>
    <t>1.2.4</t>
  </si>
  <si>
    <t>1.2.5</t>
  </si>
  <si>
    <t>1.2.6</t>
  </si>
  <si>
    <t>Media</t>
  </si>
  <si>
    <t>1.3.1</t>
  </si>
  <si>
    <t>lbs</t>
  </si>
  <si>
    <t>Biochar</t>
  </si>
  <si>
    <t>Bioretention Unit</t>
  </si>
  <si>
    <t>Muhly Grass</t>
  </si>
  <si>
    <t>Gravel</t>
  </si>
  <si>
    <t>Woodchips</t>
  </si>
  <si>
    <t xml:space="preserve">Auxiliary equipment </t>
  </si>
  <si>
    <t>Submersible pumps</t>
  </si>
  <si>
    <t>Automatic float switch</t>
  </si>
  <si>
    <t>Power supply</t>
  </si>
  <si>
    <t>Solar panels</t>
  </si>
  <si>
    <t>Solar panel stand</t>
  </si>
  <si>
    <t>Sand</t>
  </si>
  <si>
    <t>Double valve flow control system</t>
  </si>
  <si>
    <t>1.2.7</t>
  </si>
  <si>
    <t>Weatherproof electrical enclosure</t>
  </si>
  <si>
    <t>Tank</t>
  </si>
  <si>
    <t xml:space="preserve">Polyethylene tanks </t>
  </si>
  <si>
    <t>2x4 lumber</t>
  </si>
  <si>
    <t>1.1.2</t>
  </si>
  <si>
    <t>1.1.3</t>
  </si>
  <si>
    <t>Internal plumbing (PVC pipes)</t>
  </si>
  <si>
    <t>1.3.2</t>
  </si>
  <si>
    <t>1.3.3</t>
  </si>
  <si>
    <t>1.3.4</t>
  </si>
  <si>
    <t>1.4.1</t>
  </si>
  <si>
    <t>&lt;-- pick units</t>
  </si>
  <si>
    <t>Irrigation Rate Default Value</t>
  </si>
  <si>
    <t>gallons/acre/day</t>
  </si>
  <si>
    <t>gpd</t>
  </si>
  <si>
    <t>INPUT</t>
  </si>
  <si>
    <t>Note: If removal efficiency is low, try changing the size of the bioretention area in sheet</t>
  </si>
  <si>
    <t>When using the default value, the accuracy of the model developed from the experimental data may be compromised.</t>
  </si>
  <si>
    <t>This model is based on experimental data conducted at a runoff flow rate of 44 L/s  for 12 acres nursey (83,690 gallons per acre per day) (Richardson, 2024).</t>
  </si>
  <si>
    <t>Demonstration of Bioretention for Treatment of Agricultural Runoff (Ergas, Nachabe, Bhattacharjee, Richardson, Cooper, Sharmin, Luangphairin, 2024)</t>
  </si>
  <si>
    <t>TIN</t>
  </si>
  <si>
    <t>&lt;-- 1 for NH4-N, 2 for NO2-N, 3 for NO3-N, 4 for TIN, 5 for TP</t>
  </si>
  <si>
    <t>Nitrate-Nitrite</t>
  </si>
  <si>
    <t>Note: model developed based on runoff flow rate of 44L/s for 12 acre or 83,690 gpd/acre (Richardson, 2024)</t>
  </si>
  <si>
    <t>For default values, can use 8,000 gpd/acre (Fulcher and T. Fernandez, 2021)</t>
  </si>
  <si>
    <r>
      <rPr>
        <sz val="10"/>
        <rFont val="Symbol"/>
        <family val="1"/>
        <charset val="2"/>
      </rPr>
      <t>·</t>
    </r>
    <r>
      <rPr>
        <sz val="10"/>
        <rFont val="Arial"/>
        <family val="2"/>
      </rPr>
      <t xml:space="preserve"> This regression models used for calculations are based on experimental data conducted at a runoff flow rate of 44 L/s for a 12-acres nursery (83,690 gallons per acre per day) (Richardson, 2024).</t>
    </r>
    <r>
      <rPr>
        <sz val="10"/>
        <rFont val="Arial"/>
        <family val="1"/>
        <charset val="2"/>
      </rPr>
      <t xml:space="preserve"> When using the default value, the accuracy of the model developed from the experimental data may be compromised.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</si>
</sst>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 #,##0_);_(* \(#,##0\);_(* &quot;-&quot;??_);_(@_)"/>
    <numFmt numFmtId="165" formatCode="0.0%"/>
    <numFmt numFmtId="166" formatCode="0.0000"/>
    <numFmt numFmtId="167" formatCode="0.0"/>
    <numFmt numFmtId="168" formatCode="_(&quot;$&quot;* #,##0_);_(&quot;$&quot;* \(#,##0\);_(&quot;$&quot;* &quot;-&quot;??_);_(@_)"/>
  </numFmts>
  <fonts count="32">
    <font>
      <sz val="11"/>
      <color theme="1"/>
      <name val="Aptos Narrow"/>
      <family val="2"/>
      <scheme val="minor"/>
    </font>
    <font>
      <b/>
      <sz val="12"/>
      <color theme="1"/>
      <name val="Arial"/>
      <family val="2"/>
    </font>
    <font>
      <sz val="11"/>
      <color theme="1"/>
      <name val="Arial"/>
      <family val="2"/>
    </font>
    <font>
      <b/>
      <sz val="10"/>
      <color theme="1"/>
      <name val="Arial"/>
      <family val="2"/>
    </font>
    <font>
      <sz val="10"/>
      <color theme="1"/>
      <name val="Arial"/>
      <family val="2"/>
    </font>
    <font>
      <b/>
      <u/>
      <sz val="12"/>
      <name val="Arial"/>
      <family val="2"/>
    </font>
    <font>
      <b/>
      <u/>
      <sz val="10"/>
      <color theme="1"/>
      <name val="Arial"/>
      <family val="2"/>
    </font>
    <font>
      <sz val="11"/>
      <color theme="1"/>
      <name val="Aptos Narrow"/>
      <family val="2"/>
      <scheme val="minor"/>
    </font>
    <font>
      <b/>
      <sz val="11"/>
      <color theme="1"/>
      <name val="Aptos Narrow"/>
      <family val="2"/>
      <scheme val="minor"/>
    </font>
    <font>
      <b/>
      <sz val="10"/>
      <name val="Arial"/>
      <family val="2"/>
    </font>
    <font>
      <b/>
      <sz val="10"/>
      <color rgb="FF008000"/>
      <name val="Arial"/>
      <family val="2"/>
    </font>
    <font>
      <i/>
      <sz val="10"/>
      <name val="Arial"/>
      <family val="2"/>
    </font>
    <font>
      <sz val="10"/>
      <name val="Arial"/>
      <family val="2"/>
    </font>
    <font>
      <b/>
      <sz val="10"/>
      <color indexed="17"/>
      <name val="Arial"/>
      <family val="2"/>
    </font>
    <font>
      <u/>
      <sz val="10"/>
      <name val="Arial"/>
      <family val="2"/>
    </font>
    <font>
      <b/>
      <sz val="9"/>
      <color indexed="81"/>
      <name val="Tahoma"/>
      <family val="2"/>
    </font>
    <font>
      <sz val="9"/>
      <color indexed="81"/>
      <name val="Tahoma"/>
      <family val="2"/>
    </font>
    <font>
      <u/>
      <sz val="10"/>
      <color theme="1"/>
      <name val="Arial"/>
      <family val="2"/>
    </font>
    <font>
      <sz val="10"/>
      <name val="Symbol"/>
      <family val="1"/>
      <charset val="2"/>
    </font>
    <font>
      <sz val="10"/>
      <name val="Times New Roman"/>
      <family val="1"/>
    </font>
    <font>
      <u/>
      <sz val="10"/>
      <color indexed="12"/>
      <name val="Arial"/>
      <family val="2"/>
    </font>
    <font>
      <u/>
      <sz val="10"/>
      <color indexed="12"/>
      <name val="Symbol"/>
      <family val="1"/>
      <charset val="2"/>
    </font>
    <font>
      <sz val="10"/>
      <name val="Arial"/>
      <family val="1"/>
      <charset val="2"/>
    </font>
    <font>
      <sz val="12"/>
      <name val="Arial"/>
      <family val="2"/>
    </font>
    <font>
      <sz val="11"/>
      <name val="Arial"/>
      <family val="2"/>
    </font>
    <font>
      <b/>
      <sz val="12"/>
      <color theme="1"/>
      <name val="Aptos Narrow"/>
      <family val="2"/>
      <scheme val="minor"/>
    </font>
    <font>
      <b/>
      <u/>
      <sz val="12"/>
      <color indexed="12"/>
      <name val="Arial"/>
      <family val="2"/>
    </font>
    <font>
      <b/>
      <sz val="12"/>
      <color indexed="12"/>
      <name val="Arial"/>
      <family val="2"/>
    </font>
    <font>
      <b/>
      <sz val="9"/>
      <name val="Arial"/>
      <family val="2"/>
    </font>
    <font>
      <sz val="9"/>
      <name val="Arial"/>
      <family val="2"/>
    </font>
    <font>
      <i/>
      <sz val="9"/>
      <name val="Arial"/>
      <family val="2"/>
    </font>
    <font>
      <sz val="8"/>
      <name val="Aptos Narrow"/>
      <family val="2"/>
      <scheme val="minor"/>
    </font>
  </fonts>
  <fills count="8">
    <fill>
      <patternFill patternType="none"/>
    </fill>
    <fill>
      <patternFill patternType="gray125"/>
    </fill>
    <fill>
      <patternFill patternType="solid">
        <fgColor indexed="9"/>
        <bgColor indexed="64"/>
      </patternFill>
    </fill>
    <fill>
      <patternFill patternType="solid">
        <fgColor rgb="FFFFC000"/>
        <bgColor indexed="64"/>
      </patternFill>
    </fill>
    <fill>
      <patternFill patternType="solid">
        <fgColor theme="0"/>
        <bgColor indexed="64"/>
      </patternFill>
    </fill>
    <fill>
      <patternFill patternType="solid">
        <fgColor rgb="FFFFFF00"/>
        <bgColor indexed="64"/>
      </patternFill>
    </fill>
    <fill>
      <patternFill patternType="solid">
        <fgColor indexed="48"/>
        <bgColor indexed="64"/>
      </patternFill>
    </fill>
    <fill>
      <patternFill patternType="solid">
        <fgColor indexed="55"/>
        <bgColor indexed="64"/>
      </patternFill>
    </fill>
  </fills>
  <borders count="14">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top/>
      <bottom/>
      <diagonal/>
    </border>
    <border>
      <left/>
      <right style="thin">
        <color indexed="64"/>
      </right>
      <top/>
      <bottom/>
      <diagonal/>
    </border>
  </borders>
  <cellStyleXfs count="7">
    <xf numFmtId="0" fontId="0" fillId="0" borderId="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12" fillId="0" borderId="0"/>
    <xf numFmtId="0" fontId="20" fillId="0" borderId="0" applyNumberFormat="0" applyFill="0" applyBorder="0" applyAlignment="0" applyProtection="0">
      <alignment vertical="top"/>
      <protection locked="0"/>
    </xf>
    <xf numFmtId="44" fontId="12" fillId="0" borderId="0" applyFont="0" applyFill="0" applyBorder="0" applyAlignment="0" applyProtection="0"/>
  </cellStyleXfs>
  <cellXfs count="116">
    <xf numFmtId="0" fontId="0" fillId="0" borderId="0" xfId="0"/>
    <xf numFmtId="0" fontId="4" fillId="0" borderId="0" xfId="0" applyFont="1"/>
    <xf numFmtId="0" fontId="4" fillId="0" borderId="0" xfId="0" applyFont="1" applyAlignment="1">
      <alignment horizontal="left" vertical="center"/>
    </xf>
    <xf numFmtId="0" fontId="9" fillId="0" borderId="0" xfId="0" applyFont="1"/>
    <xf numFmtId="0" fontId="10" fillId="0" borderId="0" xfId="0" applyFont="1"/>
    <xf numFmtId="0" fontId="11" fillId="0" borderId="0" xfId="0" applyFont="1" applyProtection="1">
      <protection hidden="1"/>
    </xf>
    <xf numFmtId="0" fontId="12" fillId="0" borderId="0" xfId="0" applyFont="1" applyProtection="1">
      <protection hidden="1"/>
    </xf>
    <xf numFmtId="0" fontId="13" fillId="0" borderId="0" xfId="0" applyFont="1"/>
    <xf numFmtId="0" fontId="9" fillId="0" borderId="1" xfId="0" applyFont="1" applyBorder="1"/>
    <xf numFmtId="0" fontId="9" fillId="0" borderId="1" xfId="0" applyFont="1" applyBorder="1" applyAlignment="1">
      <alignment horizontal="right"/>
    </xf>
    <xf numFmtId="0" fontId="11" fillId="0" borderId="0" xfId="0" applyFont="1"/>
    <xf numFmtId="0" fontId="12" fillId="0" borderId="0" xfId="0" applyFont="1"/>
    <xf numFmtId="0" fontId="12" fillId="0" borderId="0" xfId="0" applyFont="1" applyAlignment="1">
      <alignment horizontal="left" indent="1"/>
    </xf>
    <xf numFmtId="9" fontId="4" fillId="0" borderId="0" xfId="0" applyNumberFormat="1" applyFont="1"/>
    <xf numFmtId="0" fontId="17" fillId="0" borderId="0" xfId="0" applyFont="1"/>
    <xf numFmtId="165" fontId="4" fillId="0" borderId="0" xfId="0" applyNumberFormat="1" applyFont="1"/>
    <xf numFmtId="0" fontId="14" fillId="0" borderId="0" xfId="0" applyFont="1" applyAlignment="1" applyProtection="1">
      <alignment horizontal="left" vertical="center"/>
      <protection hidden="1"/>
    </xf>
    <xf numFmtId="0" fontId="14" fillId="0" borderId="0" xfId="0" applyFont="1" applyAlignment="1">
      <alignment vertical="center"/>
    </xf>
    <xf numFmtId="0" fontId="4" fillId="0" borderId="0" xfId="0" applyFont="1" applyAlignment="1">
      <alignment horizontal="left" indent="1"/>
    </xf>
    <xf numFmtId="166" fontId="0" fillId="0" borderId="0" xfId="0" applyNumberFormat="1"/>
    <xf numFmtId="0" fontId="0" fillId="0" borderId="0" xfId="0" applyAlignment="1">
      <alignment horizontal="right" vertical="center"/>
    </xf>
    <xf numFmtId="0" fontId="0" fillId="0" borderId="0" xfId="0" applyAlignment="1">
      <alignment horizontal="left" vertical="center"/>
    </xf>
    <xf numFmtId="0" fontId="4" fillId="0" borderId="0" xfId="0" applyFont="1" applyProtection="1">
      <protection hidden="1"/>
    </xf>
    <xf numFmtId="0" fontId="4" fillId="0" borderId="0" xfId="0" applyFont="1" applyAlignment="1" applyProtection="1">
      <alignment horizontal="left" indent="1"/>
      <protection hidden="1"/>
    </xf>
    <xf numFmtId="164" fontId="4" fillId="0" borderId="0" xfId="1" applyNumberFormat="1" applyFont="1" applyProtection="1">
      <protection hidden="1"/>
    </xf>
    <xf numFmtId="0" fontId="4" fillId="3" borderId="0" xfId="0" applyFont="1" applyFill="1"/>
    <xf numFmtId="0" fontId="1" fillId="4" borderId="0" xfId="0" applyFont="1" applyFill="1"/>
    <xf numFmtId="0" fontId="2" fillId="4" borderId="0" xfId="0" applyFont="1" applyFill="1"/>
    <xf numFmtId="0" fontId="4" fillId="4" borderId="0" xfId="0" applyFont="1" applyFill="1"/>
    <xf numFmtId="0" fontId="6" fillId="4" borderId="0" xfId="0" applyFont="1" applyFill="1"/>
    <xf numFmtId="0" fontId="4" fillId="4" borderId="0" xfId="0" applyFont="1" applyFill="1" applyAlignment="1">
      <alignment horizontal="left" vertical="center"/>
    </xf>
    <xf numFmtId="0" fontId="2" fillId="4" borderId="0" xfId="0" applyFont="1" applyFill="1" applyAlignment="1">
      <alignment horizontal="left" vertical="center"/>
    </xf>
    <xf numFmtId="0" fontId="3" fillId="4" borderId="0" xfId="0" applyFont="1" applyFill="1"/>
    <xf numFmtId="0" fontId="9" fillId="4" borderId="0" xfId="4" applyFont="1" applyFill="1" applyAlignment="1">
      <alignment horizontal="center" vertical="center"/>
    </xf>
    <xf numFmtId="0" fontId="12" fillId="4" borderId="0" xfId="4" applyFill="1"/>
    <xf numFmtId="49" fontId="12" fillId="4" borderId="1" xfId="4" applyNumberFormat="1" applyFill="1" applyBorder="1" applyAlignment="1">
      <alignment horizontal="center" vertical="center"/>
    </xf>
    <xf numFmtId="0" fontId="18" fillId="4" borderId="0" xfId="4" applyFont="1" applyFill="1" applyAlignment="1">
      <alignment horizontal="left" vertical="center"/>
    </xf>
    <xf numFmtId="0" fontId="12" fillId="4" borderId="0" xfId="4" applyFill="1" applyAlignment="1">
      <alignment vertical="center"/>
    </xf>
    <xf numFmtId="0" fontId="20" fillId="4" borderId="0" xfId="5" applyFill="1" applyAlignment="1" applyProtection="1">
      <alignment vertical="center"/>
    </xf>
    <xf numFmtId="0" fontId="0" fillId="4" borderId="0" xfId="0" applyFill="1"/>
    <xf numFmtId="0" fontId="0" fillId="0" borderId="0" xfId="0" applyAlignment="1">
      <alignment horizontal="center" vertical="center"/>
    </xf>
    <xf numFmtId="2" fontId="0" fillId="0" borderId="0" xfId="0" applyNumberFormat="1"/>
    <xf numFmtId="2" fontId="4" fillId="0" borderId="0" xfId="0" applyNumberFormat="1" applyFont="1"/>
    <xf numFmtId="1" fontId="4" fillId="0" borderId="0" xfId="0" applyNumberFormat="1" applyFont="1"/>
    <xf numFmtId="0" fontId="22" fillId="4" borderId="0" xfId="4" applyFont="1" applyFill="1" applyAlignment="1">
      <alignment vertical="center" wrapText="1"/>
    </xf>
    <xf numFmtId="0" fontId="11" fillId="0" borderId="0" xfId="0" applyFont="1" applyAlignment="1">
      <alignment horizontal="right" vertical="center"/>
    </xf>
    <xf numFmtId="0" fontId="4" fillId="0" borderId="0" xfId="0" applyFont="1" applyAlignment="1">
      <alignment horizontal="right" vertical="center"/>
    </xf>
    <xf numFmtId="0" fontId="2" fillId="4" borderId="0" xfId="0" quotePrefix="1" applyFont="1" applyFill="1" applyAlignment="1">
      <alignment horizontal="center" vertical="center"/>
    </xf>
    <xf numFmtId="2" fontId="4" fillId="4" borderId="0" xfId="0" applyNumberFormat="1" applyFont="1" applyFill="1" applyAlignment="1">
      <alignment horizontal="center" vertical="center"/>
    </xf>
    <xf numFmtId="0" fontId="5" fillId="4" borderId="0" xfId="0" applyFont="1" applyFill="1"/>
    <xf numFmtId="0" fontId="0" fillId="4" borderId="0" xfId="0" applyFill="1" applyAlignment="1">
      <alignment horizontal="left" vertical="center"/>
    </xf>
    <xf numFmtId="0" fontId="0" fillId="4" borderId="0" xfId="0" applyFill="1" applyAlignment="1">
      <alignment horizontal="right" vertical="center"/>
    </xf>
    <xf numFmtId="0" fontId="0" fillId="4" borderId="0" xfId="0" applyFill="1" applyAlignment="1">
      <alignment horizontal="center" vertical="center"/>
    </xf>
    <xf numFmtId="0" fontId="8" fillId="4" borderId="0" xfId="0" applyFont="1" applyFill="1" applyAlignment="1">
      <alignment horizontal="left" vertical="center"/>
    </xf>
    <xf numFmtId="0" fontId="8" fillId="4" borderId="0" xfId="0" applyFont="1" applyFill="1" applyAlignment="1">
      <alignment horizontal="right" vertical="center"/>
    </xf>
    <xf numFmtId="1" fontId="0" fillId="4" borderId="0" xfId="0" applyNumberFormat="1" applyFill="1" applyAlignment="1">
      <alignment horizontal="right" vertical="center"/>
    </xf>
    <xf numFmtId="0" fontId="0" fillId="4" borderId="0" xfId="0" quotePrefix="1" applyFill="1" applyAlignment="1">
      <alignment horizontal="center" vertical="center"/>
    </xf>
    <xf numFmtId="2" fontId="0" fillId="4" borderId="0" xfId="0" applyNumberFormat="1" applyFill="1" applyAlignment="1">
      <alignment horizontal="right" vertical="center"/>
    </xf>
    <xf numFmtId="167" fontId="0" fillId="4" borderId="0" xfId="0" applyNumberFormat="1" applyFill="1" applyAlignment="1">
      <alignment horizontal="right" vertical="center"/>
    </xf>
    <xf numFmtId="0" fontId="2" fillId="4" borderId="0" xfId="0" applyFont="1" applyFill="1" applyAlignment="1">
      <alignment horizontal="center" vertical="center"/>
    </xf>
    <xf numFmtId="0" fontId="4" fillId="3" borderId="0" xfId="0" applyFont="1" applyFill="1" applyAlignment="1">
      <alignment horizontal="center" vertical="center"/>
    </xf>
    <xf numFmtId="0" fontId="4" fillId="0" borderId="0" xfId="0" applyFont="1" applyAlignment="1">
      <alignment horizontal="center" vertical="center"/>
    </xf>
    <xf numFmtId="0" fontId="24" fillId="4" borderId="0" xfId="0" applyFont="1" applyFill="1"/>
    <xf numFmtId="0" fontId="25" fillId="5" borderId="2" xfId="0" applyFont="1" applyFill="1" applyBorder="1" applyAlignment="1">
      <alignment horizontal="left" vertical="center"/>
    </xf>
    <xf numFmtId="9" fontId="25" fillId="5" borderId="3" xfId="3" applyFont="1" applyFill="1" applyBorder="1" applyAlignment="1">
      <alignment horizontal="right" vertical="center"/>
    </xf>
    <xf numFmtId="0" fontId="22" fillId="4" borderId="0" xfId="4" applyFont="1" applyFill="1" applyAlignment="1">
      <alignment vertical="center"/>
    </xf>
    <xf numFmtId="0" fontId="9" fillId="6" borderId="12" xfId="0" quotePrefix="1" applyFont="1" applyFill="1" applyBorder="1"/>
    <xf numFmtId="0" fontId="9" fillId="6" borderId="0" xfId="0" applyFont="1" applyFill="1"/>
    <xf numFmtId="0" fontId="28" fillId="6" borderId="0" xfId="0" applyFont="1" applyFill="1"/>
    <xf numFmtId="0" fontId="9" fillId="6" borderId="0" xfId="0" applyFont="1" applyFill="1" applyAlignment="1">
      <alignment horizontal="right"/>
    </xf>
    <xf numFmtId="0" fontId="9" fillId="6" borderId="13" xfId="0" applyFont="1" applyFill="1" applyBorder="1"/>
    <xf numFmtId="0" fontId="0" fillId="7" borderId="12" xfId="0" applyFill="1" applyBorder="1" applyAlignment="1">
      <alignment horizontal="left"/>
    </xf>
    <xf numFmtId="0" fontId="12" fillId="7" borderId="0" xfId="0" applyFont="1" applyFill="1"/>
    <xf numFmtId="164" fontId="0" fillId="7" borderId="0" xfId="0" applyNumberFormat="1" applyFill="1"/>
    <xf numFmtId="0" fontId="29" fillId="7" borderId="0" xfId="0" applyFont="1" applyFill="1"/>
    <xf numFmtId="164" fontId="0" fillId="7" borderId="0" xfId="1" applyNumberFormat="1" applyFont="1" applyFill="1" applyBorder="1" applyAlignment="1">
      <alignment horizontal="right"/>
    </xf>
    <xf numFmtId="0" fontId="0" fillId="7" borderId="0" xfId="0" applyFill="1" applyAlignment="1">
      <alignment horizontal="left"/>
    </xf>
    <xf numFmtId="0" fontId="0" fillId="7" borderId="0" xfId="0" applyFill="1" applyAlignment="1">
      <alignment horizontal="right"/>
    </xf>
    <xf numFmtId="0" fontId="0" fillId="7" borderId="13" xfId="0" applyFill="1" applyBorder="1"/>
    <xf numFmtId="0" fontId="9" fillId="0" borderId="12" xfId="0" applyFont="1" applyBorder="1"/>
    <xf numFmtId="164" fontId="9" fillId="0" borderId="0" xfId="0" applyNumberFormat="1" applyFont="1"/>
    <xf numFmtId="0" fontId="28" fillId="0" borderId="0" xfId="0" applyFont="1"/>
    <xf numFmtId="164" fontId="9" fillId="0" borderId="0" xfId="0" applyNumberFormat="1" applyFont="1" applyAlignment="1">
      <alignment horizontal="right"/>
    </xf>
    <xf numFmtId="0" fontId="9" fillId="0" borderId="0" xfId="0" applyFont="1" applyAlignment="1">
      <alignment horizontal="left"/>
    </xf>
    <xf numFmtId="168" fontId="9" fillId="0" borderId="0" xfId="2" applyNumberFormat="1" applyFont="1" applyAlignment="1">
      <alignment horizontal="right"/>
    </xf>
    <xf numFmtId="168" fontId="9" fillId="0" borderId="0" xfId="0" applyNumberFormat="1" applyFont="1" applyAlignment="1">
      <alignment horizontal="right"/>
    </xf>
    <xf numFmtId="0" fontId="9" fillId="0" borderId="0" xfId="0" applyFont="1" applyAlignment="1">
      <alignment horizontal="right"/>
    </xf>
    <xf numFmtId="0" fontId="9" fillId="0" borderId="13" xfId="0" applyFont="1" applyBorder="1" applyAlignment="1">
      <alignment horizontal="right"/>
    </xf>
    <xf numFmtId="44" fontId="9" fillId="0" borderId="0" xfId="2" applyFont="1" applyAlignment="1">
      <alignment horizontal="right"/>
    </xf>
    <xf numFmtId="44" fontId="9" fillId="0" borderId="0" xfId="6" applyFont="1" applyBorder="1" applyAlignment="1" applyProtection="1">
      <alignment horizontal="right"/>
      <protection hidden="1"/>
    </xf>
    <xf numFmtId="168" fontId="9" fillId="0" borderId="0" xfId="0" applyNumberFormat="1" applyFont="1" applyAlignment="1" applyProtection="1">
      <alignment horizontal="right"/>
      <protection hidden="1"/>
    </xf>
    <xf numFmtId="0" fontId="12" fillId="0" borderId="12" xfId="0" applyFont="1" applyBorder="1" applyAlignment="1">
      <alignment horizontal="left"/>
    </xf>
    <xf numFmtId="0" fontId="29" fillId="0" borderId="0" xfId="0" applyFont="1"/>
    <xf numFmtId="164" fontId="12" fillId="0" borderId="0" xfId="0" applyNumberFormat="1" applyFont="1" applyAlignment="1">
      <alignment horizontal="right"/>
    </xf>
    <xf numFmtId="0" fontId="12" fillId="0" borderId="0" xfId="0" applyFont="1" applyAlignment="1">
      <alignment horizontal="left"/>
    </xf>
    <xf numFmtId="44" fontId="12" fillId="0" borderId="0" xfId="2" applyFont="1" applyAlignment="1">
      <alignment horizontal="right"/>
    </xf>
    <xf numFmtId="168" fontId="12" fillId="0" borderId="0" xfId="0" applyNumberFormat="1" applyFont="1" applyAlignment="1">
      <alignment horizontal="right"/>
    </xf>
    <xf numFmtId="0" fontId="12" fillId="0" borderId="0" xfId="0" applyFont="1" applyAlignment="1">
      <alignment horizontal="right"/>
    </xf>
    <xf numFmtId="0" fontId="12" fillId="0" borderId="13" xfId="0" applyFont="1" applyBorder="1" applyAlignment="1">
      <alignment horizontal="right"/>
    </xf>
    <xf numFmtId="164" fontId="12" fillId="0" borderId="0" xfId="0" applyNumberFormat="1" applyFont="1"/>
    <xf numFmtId="0" fontId="30" fillId="0" borderId="0" xfId="0" applyFont="1"/>
    <xf numFmtId="167" fontId="4" fillId="3" borderId="0" xfId="0" applyNumberFormat="1" applyFont="1" applyFill="1"/>
    <xf numFmtId="0" fontId="26" fillId="2" borderId="0" xfId="0" applyFont="1" applyFill="1"/>
    <xf numFmtId="0" fontId="12" fillId="4" borderId="0" xfId="4" applyFill="1" applyAlignment="1">
      <alignment horizontal="left" vertical="center" wrapText="1" indent="2"/>
    </xf>
    <xf numFmtId="0" fontId="9" fillId="2" borderId="4" xfId="0" applyFont="1" applyFill="1" applyBorder="1" applyAlignment="1">
      <alignment horizontal="center"/>
    </xf>
    <xf numFmtId="0" fontId="9" fillId="2" borderId="7" xfId="0" applyFont="1" applyFill="1" applyBorder="1" applyAlignment="1">
      <alignment horizontal="center"/>
    </xf>
    <xf numFmtId="0" fontId="9" fillId="2" borderId="10" xfId="0" applyFont="1" applyFill="1" applyBorder="1" applyAlignment="1">
      <alignment horizontal="center"/>
    </xf>
    <xf numFmtId="0" fontId="9" fillId="2" borderId="5" xfId="0" applyFont="1" applyFill="1" applyBorder="1" applyAlignment="1">
      <alignment horizontal="center"/>
    </xf>
    <xf numFmtId="0" fontId="9" fillId="2" borderId="8" xfId="0" applyFont="1" applyFill="1" applyBorder="1" applyAlignment="1">
      <alignment horizontal="center"/>
    </xf>
    <xf numFmtId="0" fontId="9" fillId="2" borderId="11" xfId="0" applyFont="1" applyFill="1" applyBorder="1" applyAlignment="1">
      <alignment horizontal="center"/>
    </xf>
    <xf numFmtId="0" fontId="9" fillId="2" borderId="6" xfId="0" applyFont="1" applyFill="1" applyBorder="1" applyAlignment="1">
      <alignment horizontal="center"/>
    </xf>
    <xf numFmtId="0" fontId="9" fillId="2" borderId="9" xfId="0" applyFont="1" applyFill="1" applyBorder="1" applyAlignment="1">
      <alignment horizontal="center"/>
    </xf>
    <xf numFmtId="0" fontId="9" fillId="2" borderId="4" xfId="0" applyFont="1" applyFill="1" applyBorder="1" applyAlignment="1">
      <alignment horizontal="center" wrapText="1"/>
    </xf>
    <xf numFmtId="0" fontId="9" fillId="2" borderId="7" xfId="0" applyFont="1" applyFill="1" applyBorder="1" applyAlignment="1">
      <alignment horizontal="center" wrapText="1"/>
    </xf>
    <xf numFmtId="0" fontId="9" fillId="2" borderId="10" xfId="0" applyFont="1" applyFill="1" applyBorder="1" applyAlignment="1">
      <alignment horizontal="center" wrapText="1"/>
    </xf>
    <xf numFmtId="0" fontId="4" fillId="0" borderId="0" xfId="0" applyFont="1" applyFill="1"/>
  </cellXfs>
  <cellStyles count="7">
    <cellStyle name="Comma" xfId="1" builtinId="3"/>
    <cellStyle name="Currency" xfId="2" builtinId="4"/>
    <cellStyle name="Currency 2" xfId="6" xr:uid="{D0B80E39-ED3D-44DA-9EBE-9B7C1FC8060E}"/>
    <cellStyle name="Hyperlink 2" xfId="5" xr:uid="{EE12CFCC-7855-418B-8125-909E11F58A44}"/>
    <cellStyle name="Normal" xfId="0" builtinId="0"/>
    <cellStyle name="Normal 2" xfId="4" xr:uid="{237B08AE-5739-4629-BF5D-0B35D451D95A}"/>
    <cellStyle name="Percent" xfId="3" builtinId="5"/>
  </cellStyles>
  <dxfs count="7">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val="0"/>
        <i/>
        <condense val="0"/>
        <extend val="0"/>
      </font>
    </dxf>
    <dxf>
      <font>
        <b val="0"/>
        <i/>
        <condense val="0"/>
        <extend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Drop" dropLines="5" dropStyle="combo" dx="22" fmlaLink="target_contaminant" fmlaRange="'Lookup Tables'!$B$14:$B$19" noThreeD="1" sel="4" val="0"/>
</file>

<file path=xl/ctrlProps/ctrlProp2.xml><?xml version="1.0" encoding="utf-8"?>
<formControlPr xmlns="http://schemas.microsoft.com/office/spreadsheetml/2009/9/main" objectType="Drop" dropLines="3" dropStyle="combo" dx="22" fmlaLink="size" fmlaRange="'Lookup Tables'!$B$31:$B$33" noThreeD="1" sel="2" val="0"/>
</file>

<file path=xl/ctrlProps/ctrlProp3.xml><?xml version="1.0" encoding="utf-8"?>
<formControlPr xmlns="http://schemas.microsoft.com/office/spreadsheetml/2009/9/main" objectType="Drop" dropLines="3" dropStyle="combo" dx="22" fmlaLink="'Bioretention Constraints'!$C$11" fmlaRange="'Lookup Tables'!$B$35:$B$37" noThreeD="1" sel="1" val="0"/>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7</xdr:row>
          <xdr:rowOff>146050</xdr:rowOff>
        </xdr:from>
        <xdr:to>
          <xdr:col>3</xdr:col>
          <xdr:colOff>317500</xdr:colOff>
          <xdr:row>9</xdr:row>
          <xdr:rowOff>38100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xdr:colOff>
          <xdr:row>13</xdr:row>
          <xdr:rowOff>171450</xdr:rowOff>
        </xdr:from>
        <xdr:to>
          <xdr:col>3</xdr:col>
          <xdr:colOff>120650</xdr:colOff>
          <xdr:row>15</xdr:row>
          <xdr:rowOff>38100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3943350</xdr:colOff>
          <xdr:row>16</xdr:row>
          <xdr:rowOff>88900</xdr:rowOff>
        </xdr:from>
        <xdr:to>
          <xdr:col>5</xdr:col>
          <xdr:colOff>158750</xdr:colOff>
          <xdr:row>17</xdr:row>
          <xdr:rowOff>165100</xdr:rowOff>
        </xdr:to>
        <xdr:sp macro="" textlink="">
          <xdr:nvSpPr>
            <xdr:cNvPr id="1033" name="Drop Dow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xdr:col>
      <xdr:colOff>438150</xdr:colOff>
      <xdr:row>1</xdr:row>
      <xdr:rowOff>139700</xdr:rowOff>
    </xdr:from>
    <xdr:to>
      <xdr:col>15</xdr:col>
      <xdr:colOff>297180</xdr:colOff>
      <xdr:row>18</xdr:row>
      <xdr:rowOff>85725</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372100" y="336550"/>
          <a:ext cx="5434330" cy="3076575"/>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7964C-74F8-40E3-A62F-60453431F204}">
  <sheetPr codeName="Sheet1"/>
  <dimension ref="A1:A14"/>
  <sheetViews>
    <sheetView tabSelected="1" workbookViewId="0">
      <selection activeCell="A4" sqref="A4"/>
    </sheetView>
  </sheetViews>
  <sheetFormatPr defaultColWidth="9.1796875" defaultRowHeight="14.5"/>
  <cols>
    <col min="1" max="1" width="122.7265625" style="34" customWidth="1"/>
    <col min="2" max="16384" width="9.1796875" style="39"/>
  </cols>
  <sheetData>
    <row r="1" spans="1:1">
      <c r="A1" s="33" t="s">
        <v>95</v>
      </c>
    </row>
    <row r="2" spans="1:1">
      <c r="A2" s="33" t="s">
        <v>94</v>
      </c>
    </row>
    <row r="3" spans="1:1">
      <c r="A3" s="35" t="s">
        <v>96</v>
      </c>
    </row>
    <row r="4" spans="1:1">
      <c r="A4" s="36" t="s">
        <v>132</v>
      </c>
    </row>
    <row r="5" spans="1:1">
      <c r="A5" s="65" t="s">
        <v>88</v>
      </c>
    </row>
    <row r="6" spans="1:1" ht="37.5">
      <c r="A6" s="44" t="s">
        <v>194</v>
      </c>
    </row>
    <row r="7" spans="1:1" ht="25">
      <c r="A7" s="44" t="s">
        <v>112</v>
      </c>
    </row>
    <row r="8" spans="1:1">
      <c r="A8" s="37" t="s">
        <v>89</v>
      </c>
    </row>
    <row r="9" spans="1:1">
      <c r="A9" s="37" t="s">
        <v>90</v>
      </c>
    </row>
    <row r="10" spans="1:1">
      <c r="A10" s="37" t="s">
        <v>91</v>
      </c>
    </row>
    <row r="11" spans="1:1">
      <c r="A11" s="37" t="s">
        <v>92</v>
      </c>
    </row>
    <row r="12" spans="1:1" ht="14.5" customHeight="1">
      <c r="A12" s="103" t="s">
        <v>188</v>
      </c>
    </row>
    <row r="13" spans="1:1">
      <c r="A13" s="38" t="s">
        <v>93</v>
      </c>
    </row>
    <row r="14" spans="1:1">
      <c r="A14" s="37"/>
    </row>
  </sheetData>
  <hyperlinks>
    <hyperlink ref="A13" location="INPUT!A1" display="· To begin using the model, go to the INPUT sheet." xr:uid="{14118AB9-9585-4A9B-9FCB-B2BB4DDF531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38A78-0BFB-4F28-8BB3-08D51C71E702}">
  <sheetPr codeName="Sheet2"/>
  <dimension ref="A1:L21"/>
  <sheetViews>
    <sheetView workbookViewId="0"/>
  </sheetViews>
  <sheetFormatPr defaultRowHeight="14"/>
  <cols>
    <col min="1" max="1" width="8.7265625" style="27"/>
    <col min="2" max="2" width="56.54296875" style="27" customWidth="1"/>
    <col min="3" max="3" width="9.1796875" style="28" customWidth="1"/>
    <col min="4" max="4" width="8.1796875" style="27" customWidth="1"/>
    <col min="5" max="7" width="8.7265625" style="27"/>
    <col min="8" max="8" width="7.453125" style="27" customWidth="1"/>
    <col min="9" max="9" width="2.6328125" style="27" customWidth="1"/>
    <col min="10" max="10" width="5" style="27" customWidth="1"/>
    <col min="11" max="11" width="4.7265625" style="27" customWidth="1"/>
    <col min="12" max="16384" width="8.7265625" style="27"/>
  </cols>
  <sheetData>
    <row r="1" spans="1:12" ht="15.5">
      <c r="A1" s="26" t="s">
        <v>0</v>
      </c>
    </row>
    <row r="2" spans="1:12">
      <c r="B2" s="29" t="s">
        <v>1</v>
      </c>
      <c r="D2" s="30" t="s">
        <v>18</v>
      </c>
    </row>
    <row r="3" spans="1:12">
      <c r="B3" s="28" t="s">
        <v>19</v>
      </c>
      <c r="C3" s="25">
        <v>12</v>
      </c>
      <c r="D3" s="61" t="s">
        <v>54</v>
      </c>
    </row>
    <row r="4" spans="1:12">
      <c r="D4" s="31"/>
    </row>
    <row r="5" spans="1:12">
      <c r="B5" s="29" t="s">
        <v>2</v>
      </c>
      <c r="D5" s="31"/>
    </row>
    <row r="6" spans="1:12">
      <c r="B6" s="28" t="s">
        <v>70</v>
      </c>
      <c r="C6" s="101">
        <v>44</v>
      </c>
      <c r="D6" s="60" t="s">
        <v>55</v>
      </c>
      <c r="E6" s="27" t="s">
        <v>180</v>
      </c>
      <c r="G6" s="115" t="s">
        <v>193</v>
      </c>
    </row>
    <row r="7" spans="1:12">
      <c r="D7" s="31"/>
      <c r="G7" s="115" t="s">
        <v>192</v>
      </c>
    </row>
    <row r="8" spans="1:12">
      <c r="B8" s="29" t="s">
        <v>3</v>
      </c>
      <c r="D8" s="31"/>
    </row>
    <row r="9" spans="1:12">
      <c r="B9" s="28" t="s">
        <v>23</v>
      </c>
    </row>
    <row r="10" spans="1:12">
      <c r="D10" s="31"/>
    </row>
    <row r="11" spans="1:12">
      <c r="B11" s="29" t="s">
        <v>3</v>
      </c>
      <c r="D11" s="31"/>
    </row>
    <row r="12" spans="1:12">
      <c r="B12" s="28" t="s">
        <v>17</v>
      </c>
      <c r="C12" s="101" cm="1">
        <f t="array" ref="C12">IF(target_contaminant=1,default_nh4_mgl,IF(target_contaminant=2,default_no2_mgl,IF(target_contaminant=3,default_no3_mgl,IF(target_contaminant=4,default_tin_mgl,IF(target_contaminant=5,default_nitrate_nitrite_mgl,IF(target_contaminant=6,default_tp_mgl,"NA"))))))</f>
        <v>2.8495864160730204</v>
      </c>
      <c r="D12" s="60" t="s">
        <v>22</v>
      </c>
      <c r="E12" s="30" t="s">
        <v>129</v>
      </c>
      <c r="I12" s="47" t="s">
        <v>97</v>
      </c>
      <c r="J12" s="48">
        <f>IF(target_contaminant=1,default_nh4_mgl,IF(target_contaminant=2,default_no2_mgl,IF(target_contaminant=3,default_no3_mgl,IF(target_contaminant=4,default_tin_mgl,IF(target_contaminant=5,default_nitrate_nitrite_mgl,IF(target_contaminant=6,default_tp_mgl,"NA"))))))</f>
        <v>2.8495864160730204</v>
      </c>
      <c r="K12" s="28" t="s">
        <v>22</v>
      </c>
      <c r="L12" s="27" t="str">
        <f>IF(target_contaminant=1,"NH4-N",IF(target_contaminant=2,"NO2-N",IF(target_contaminant=3,"NO3-N",IF(target_contaminant=4,"TIN",IF(target_contaminant=5,"Nitrate-Nitrite",IF(target_contaminant=6,"TP","other"))))))</f>
        <v>TIN</v>
      </c>
    </row>
    <row r="13" spans="1:12">
      <c r="D13" s="31"/>
    </row>
    <row r="14" spans="1:12">
      <c r="B14" s="29" t="s">
        <v>4</v>
      </c>
      <c r="D14" s="31"/>
    </row>
    <row r="15" spans="1:12">
      <c r="B15" s="28" t="s">
        <v>53</v>
      </c>
      <c r="C15" s="32"/>
    </row>
    <row r="17" spans="2:3">
      <c r="B17" s="29" t="s">
        <v>6</v>
      </c>
    </row>
    <row r="18" spans="2:3">
      <c r="B18" s="28" t="s">
        <v>5</v>
      </c>
      <c r="C18" s="32"/>
    </row>
    <row r="20" spans="2:3">
      <c r="B20" s="29" t="s">
        <v>20</v>
      </c>
    </row>
    <row r="21" spans="2:3">
      <c r="B21" s="38" t="s">
        <v>109</v>
      </c>
    </row>
  </sheetData>
  <hyperlinks>
    <hyperlink ref="B21" location="OUTPUT!A1" display="· To see results, go to the OUTPUT sheet." xr:uid="{61C8F2C1-5393-45AE-9BD8-5BD0134AEFA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0" r:id="rId3" name="Drop Down 6">
              <controlPr defaultSize="0" autoLine="0" autoPict="0">
                <anchor moveWithCells="1">
                  <from>
                    <xdr:col>2</xdr:col>
                    <xdr:colOff>0</xdr:colOff>
                    <xdr:row>7</xdr:row>
                    <xdr:rowOff>146050</xdr:rowOff>
                  </from>
                  <to>
                    <xdr:col>3</xdr:col>
                    <xdr:colOff>317500</xdr:colOff>
                    <xdr:row>9</xdr:row>
                    <xdr:rowOff>38100</xdr:rowOff>
                  </to>
                </anchor>
              </controlPr>
            </control>
          </mc:Choice>
        </mc:AlternateContent>
        <mc:AlternateContent xmlns:mc="http://schemas.openxmlformats.org/markup-compatibility/2006">
          <mc:Choice Requires="x14">
            <control shapeId="1031" r:id="rId4" name="Drop Down 7">
              <controlPr defaultSize="0" autoLine="0" autoPict="0">
                <anchor moveWithCells="1">
                  <from>
                    <xdr:col>2</xdr:col>
                    <xdr:colOff>6350</xdr:colOff>
                    <xdr:row>13</xdr:row>
                    <xdr:rowOff>171450</xdr:rowOff>
                  </from>
                  <to>
                    <xdr:col>3</xdr:col>
                    <xdr:colOff>120650</xdr:colOff>
                    <xdr:row>15</xdr:row>
                    <xdr:rowOff>38100</xdr:rowOff>
                  </to>
                </anchor>
              </controlPr>
            </control>
          </mc:Choice>
        </mc:AlternateContent>
        <mc:AlternateContent xmlns:mc="http://schemas.openxmlformats.org/markup-compatibility/2006">
          <mc:Choice Requires="x14">
            <control shapeId="1033" r:id="rId5" name="Drop Down 9">
              <controlPr defaultSize="0" autoLine="0" autoPict="0">
                <anchor moveWithCells="1">
                  <from>
                    <xdr:col>1</xdr:col>
                    <xdr:colOff>3943350</xdr:colOff>
                    <xdr:row>16</xdr:row>
                    <xdr:rowOff>88900</xdr:rowOff>
                  </from>
                  <to>
                    <xdr:col>5</xdr:col>
                    <xdr:colOff>158750</xdr:colOff>
                    <xdr:row>17</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1C941ED-E992-4E1F-8E27-045133B1170B}">
          <x14:formula1>
            <xm:f>'Lookup Tables'!$B$21:$B$22</xm:f>
          </x14:formula1>
          <xm:sqref>D12</xm:sqref>
        </x14:dataValidation>
        <x14:dataValidation type="list" allowBlank="1" showInputMessage="1" showErrorMessage="1" xr:uid="{A016527C-DAFB-40EE-B295-16CA792BBE62}">
          <x14:formula1>
            <xm:f>'Lookup Tables'!$B$5:$B$10</xm:f>
          </x14:formula1>
          <xm:sqref>D6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80122-509C-4B06-A2B3-E240CD039DC6}">
  <sheetPr codeName="Sheet3"/>
  <dimension ref="A1:M48"/>
  <sheetViews>
    <sheetView workbookViewId="0">
      <selection activeCell="H37" sqref="H37"/>
    </sheetView>
  </sheetViews>
  <sheetFormatPr defaultRowHeight="14.5"/>
  <cols>
    <col min="2" max="2" width="21.453125" style="21" customWidth="1"/>
    <col min="3" max="3" width="12.26953125" style="20" customWidth="1"/>
    <col min="4" max="4" width="9.6328125" style="20" customWidth="1"/>
    <col min="5" max="5" width="4.81640625" style="40" customWidth="1"/>
    <col min="6" max="6" width="7.36328125" customWidth="1"/>
    <col min="12" max="12" width="18.7265625" customWidth="1"/>
  </cols>
  <sheetData>
    <row r="1" spans="1:7" s="39" customFormat="1" ht="15.5">
      <c r="A1" s="49" t="s">
        <v>130</v>
      </c>
      <c r="B1" s="50"/>
      <c r="C1" s="51"/>
      <c r="D1" s="51"/>
      <c r="E1" s="52"/>
    </row>
    <row r="2" spans="1:7" s="39" customFormat="1">
      <c r="A2" s="62" t="s">
        <v>131</v>
      </c>
      <c r="B2" s="50"/>
      <c r="C2" s="51"/>
      <c r="D2" s="51"/>
      <c r="E2" s="52"/>
    </row>
    <row r="3" spans="1:7" s="39" customFormat="1">
      <c r="B3" s="53" t="s">
        <v>7</v>
      </c>
      <c r="C3" s="54" t="s">
        <v>9</v>
      </c>
      <c r="D3" s="53" t="s">
        <v>10</v>
      </c>
      <c r="E3" s="52"/>
    </row>
    <row r="4" spans="1:7" s="39" customFormat="1">
      <c r="B4" s="50" t="s">
        <v>8</v>
      </c>
      <c r="C4" s="51" t="s">
        <v>65</v>
      </c>
      <c r="D4" s="50"/>
      <c r="E4" s="52"/>
    </row>
    <row r="5" spans="1:7" s="39" customFormat="1">
      <c r="B5" s="50" t="s">
        <v>11</v>
      </c>
      <c r="C5" s="51" t="str">
        <f>IF(target_contaminant=1,"NH4-N",IF(target_contaminant=2,"NO2-N",IF(target_contaminant=3,"NO3-N",IF(target_contaminant=4,"TIN",IF(target_contaminant=5,"TP","other")))))</f>
        <v>TIN</v>
      </c>
      <c r="D5" s="50"/>
      <c r="E5" s="52"/>
    </row>
    <row r="6" spans="1:7" s="39" customFormat="1">
      <c r="B6" s="50" t="s">
        <v>12</v>
      </c>
      <c r="C6" s="51" t="str">
        <f>IF(design_type=1,"CBA",IF(design_type=2,"PBA", "NO BIOCHAR"))</f>
        <v>CBA</v>
      </c>
      <c r="D6" s="50"/>
      <c r="E6" s="52"/>
    </row>
    <row r="7" spans="1:7" s="39" customFormat="1">
      <c r="B7" s="50" t="s">
        <v>13</v>
      </c>
      <c r="C7" s="55">
        <f>flow_rate</f>
        <v>809.11292315295282</v>
      </c>
      <c r="D7" s="50" t="s">
        <v>56</v>
      </c>
      <c r="E7" s="56" t="s">
        <v>97</v>
      </c>
      <c r="F7" s="57">
        <f>C7/1000</f>
        <v>0.8091129231529528</v>
      </c>
      <c r="G7" s="39" t="s">
        <v>111</v>
      </c>
    </row>
    <row r="8" spans="1:7" s="39" customFormat="1">
      <c r="B8" s="50" t="s">
        <v>72</v>
      </c>
      <c r="C8" s="57">
        <f>irrigation_rate/(irrigated_area*IF(size=1,0.01,IF(size=2,0.025,0.05)))</f>
        <v>0.21744502100321225</v>
      </c>
      <c r="D8" s="50" t="s">
        <v>74</v>
      </c>
      <c r="E8" s="56" t="s">
        <v>97</v>
      </c>
      <c r="F8" s="51" t="str">
        <f>hydraulic_loading_rate</f>
        <v>Medium</v>
      </c>
    </row>
    <row r="9" spans="1:7" s="39" customFormat="1">
      <c r="B9" s="50" t="s">
        <v>14</v>
      </c>
      <c r="C9" s="55">
        <f>EBCT</f>
        <v>363.31022727272727</v>
      </c>
      <c r="D9" s="50" t="s">
        <v>86</v>
      </c>
      <c r="E9" s="56" t="s">
        <v>97</v>
      </c>
      <c r="F9" s="58">
        <f>C9/60</f>
        <v>6.055170454545455</v>
      </c>
      <c r="G9" s="39" t="s">
        <v>110</v>
      </c>
    </row>
    <row r="10" spans="1:7" s="39" customFormat="1">
      <c r="B10" s="50"/>
      <c r="C10" s="51"/>
      <c r="D10" s="50"/>
      <c r="E10" s="52"/>
      <c r="F10" s="51"/>
    </row>
    <row r="11" spans="1:7" s="39" customFormat="1">
      <c r="B11" s="50" t="s">
        <v>60</v>
      </c>
      <c r="C11" s="51">
        <f>height</f>
        <v>79</v>
      </c>
      <c r="D11" s="50" t="s">
        <v>75</v>
      </c>
      <c r="E11" s="56" t="s">
        <v>97</v>
      </c>
      <c r="F11" s="51" t="str">
        <f>outlet_height</f>
        <v>Upper</v>
      </c>
    </row>
    <row r="12" spans="1:7" s="39" customFormat="1">
      <c r="B12" s="50" t="s">
        <v>16</v>
      </c>
      <c r="C12" s="51">
        <f>length</f>
        <v>61</v>
      </c>
      <c r="D12" s="50" t="s">
        <v>75</v>
      </c>
      <c r="E12" s="52"/>
    </row>
    <row r="13" spans="1:7" s="39" customFormat="1">
      <c r="B13" s="50" t="s">
        <v>15</v>
      </c>
      <c r="C13" s="51">
        <f>width</f>
        <v>61</v>
      </c>
      <c r="D13" s="50" t="s">
        <v>75</v>
      </c>
      <c r="E13" s="52"/>
    </row>
    <row r="14" spans="1:7" s="39" customFormat="1">
      <c r="B14" s="50" t="s">
        <v>113</v>
      </c>
      <c r="C14" s="51" t="s">
        <v>114</v>
      </c>
      <c r="D14" s="50" t="s">
        <v>120</v>
      </c>
      <c r="E14" s="52"/>
    </row>
    <row r="15" spans="1:7" s="39" customFormat="1">
      <c r="B15" s="50"/>
      <c r="C15" s="51"/>
      <c r="D15" s="51"/>
      <c r="E15" s="52"/>
    </row>
    <row r="16" spans="1:7" s="39" customFormat="1">
      <c r="B16" s="50" t="s">
        <v>106</v>
      </c>
      <c r="C16" s="57" cm="1">
        <f t="array" ref="C16">influent_contaminant_concentration</f>
        <v>2.8495864160730204</v>
      </c>
      <c r="D16" s="50" t="s">
        <v>22</v>
      </c>
      <c r="E16" s="52"/>
    </row>
    <row r="17" spans="1:13" s="39" customFormat="1">
      <c r="B17" s="50" t="s">
        <v>104</v>
      </c>
      <c r="C17" s="57">
        <f>influent_contaminant_concentration/EBCT*1440</f>
        <v>11.29449195512141</v>
      </c>
      <c r="D17" s="50" t="s">
        <v>107</v>
      </c>
      <c r="E17" s="59"/>
    </row>
    <row r="18" spans="1:13" s="39" customFormat="1">
      <c r="B18" s="50" t="s">
        <v>105</v>
      </c>
      <c r="C18" s="57">
        <f>(NLR-NRR)/1440*EBCT</f>
        <v>0.76498033683037525</v>
      </c>
      <c r="D18" s="50" t="s">
        <v>22</v>
      </c>
      <c r="E18" s="52"/>
    </row>
    <row r="19" spans="1:13" s="39" customFormat="1">
      <c r="B19" s="50" t="s">
        <v>108</v>
      </c>
      <c r="C19" s="57">
        <f>IF(AND(target_contaminant=1,design_type=1),(slope_cba_nh4*NLR)+intercept_cba_nh4,IF(AND(target_contaminant=1,design_type=2),(slope_pba_nh4*NLR)+intercept_pba_nh4,IF(AND(target_contaminant=2,design_type=1),(slope_cba_no2*NLR)+intercept_cba_no2,IF(AND(target_contaminant=2,design_type=2),(slope_pba_no2*NLR)+intercept_pba_no2,IF(AND(target_contaminant=3,design_type=1),(slope_cba_no3*NLR)+intercept_cba_no3,IF(AND(target_contaminant=3,design_type=2),(slope_pba_no3*NLR)+intercept_pba_no3,IF(AND(target_contaminant=4,design_type=1),slope_cba_tin*LN(NLR)+intercept_cba_tin,IF(AND(target_contaminant=4,design_type=2),slope_pba_tin*LN(NLR)+intercept_pba_tin,IF(AND(target_contaminant=5,design_type=1),slope_cba_nitrate_nitrite*LN(NLR)+intercept_cba_nitrate_nitrite,IF(AND(target_contaminant=5,design_type=2),slope_pba_nitrate_nitrite*LN(NLR)+intercept_pba_nitrate_nitrite,IF(AND(target_contaminant=6,design_type=1),(slope_cba_tp*NLR)+intercept_cba_tp,IF(AND(target_contaminant=6,design_type=2),(slope_pba_tp*NLR)+intercept_pba_tp,"NA"))))))))))))</f>
        <v>8.2624504590563408</v>
      </c>
      <c r="D19" s="50" t="s">
        <v>107</v>
      </c>
      <c r="E19" s="52"/>
    </row>
    <row r="20" spans="1:13" s="39" customFormat="1">
      <c r="B20" s="50"/>
      <c r="C20" s="51"/>
      <c r="D20" s="51"/>
      <c r="E20" s="52"/>
    </row>
    <row r="21" spans="1:13" s="39" customFormat="1" ht="16">
      <c r="B21" s="63" t="s">
        <v>85</v>
      </c>
      <c r="C21" s="64">
        <f>NRR/NLR</f>
        <v>0.73154688957122938</v>
      </c>
      <c r="D21" s="51"/>
      <c r="E21" s="52"/>
      <c r="F21" s="39" t="s">
        <v>185</v>
      </c>
      <c r="M21" s="38" t="s">
        <v>184</v>
      </c>
    </row>
    <row r="22" spans="1:13" s="39" customFormat="1">
      <c r="B22" s="50"/>
      <c r="C22" s="51"/>
      <c r="D22" s="51"/>
      <c r="E22" s="52"/>
      <c r="F22" s="39" t="s">
        <v>187</v>
      </c>
    </row>
    <row r="23" spans="1:13" s="39" customFormat="1">
      <c r="B23" s="50"/>
      <c r="C23" s="51"/>
      <c r="D23" s="51"/>
      <c r="E23" s="52"/>
      <c r="F23" s="39" t="s">
        <v>186</v>
      </c>
    </row>
    <row r="25" spans="1:13" ht="15.5">
      <c r="A25" s="102" t="s">
        <v>133</v>
      </c>
      <c r="D25" s="21"/>
    </row>
    <row r="26" spans="1:13">
      <c r="A26" s="110" t="s">
        <v>134</v>
      </c>
      <c r="B26" s="104" t="s">
        <v>135</v>
      </c>
      <c r="C26" s="104" t="s">
        <v>136</v>
      </c>
      <c r="D26" s="104"/>
      <c r="E26" s="104" t="s">
        <v>137</v>
      </c>
      <c r="F26" s="104"/>
      <c r="G26" s="112" t="s">
        <v>138</v>
      </c>
      <c r="H26" s="112"/>
      <c r="I26" s="104" t="s">
        <v>139</v>
      </c>
      <c r="J26" s="104" t="s">
        <v>140</v>
      </c>
      <c r="K26" s="104" t="s">
        <v>141</v>
      </c>
      <c r="L26" s="107" t="s">
        <v>142</v>
      </c>
    </row>
    <row r="27" spans="1:13">
      <c r="A27" s="110"/>
      <c r="B27" s="105"/>
      <c r="C27" s="105"/>
      <c r="D27" s="105"/>
      <c r="E27" s="105"/>
      <c r="F27" s="105"/>
      <c r="G27" s="113"/>
      <c r="H27" s="113"/>
      <c r="I27" s="105"/>
      <c r="J27" s="105"/>
      <c r="K27" s="105"/>
      <c r="L27" s="108"/>
    </row>
    <row r="28" spans="1:13">
      <c r="A28" s="111"/>
      <c r="B28" s="106"/>
      <c r="C28" s="106"/>
      <c r="D28" s="106"/>
      <c r="E28" s="106"/>
      <c r="F28" s="106"/>
      <c r="G28" s="114"/>
      <c r="H28" s="114"/>
      <c r="I28" s="106"/>
      <c r="J28" s="106"/>
      <c r="K28" s="106"/>
      <c r="L28" s="109"/>
    </row>
    <row r="29" spans="1:13">
      <c r="A29" s="66" t="s">
        <v>143</v>
      </c>
      <c r="B29" s="67" t="s">
        <v>156</v>
      </c>
      <c r="C29" s="67"/>
      <c r="D29" s="68"/>
      <c r="E29" s="67"/>
      <c r="F29" s="67"/>
      <c r="G29" s="67"/>
      <c r="H29" s="67"/>
      <c r="I29" s="69"/>
      <c r="J29" s="69"/>
      <c r="K29" s="69"/>
      <c r="L29" s="70"/>
    </row>
    <row r="30" spans="1:13">
      <c r="A30" s="71">
        <v>1.1000000000000001</v>
      </c>
      <c r="B30" s="72" t="s">
        <v>170</v>
      </c>
      <c r="C30" s="73"/>
      <c r="D30" s="74"/>
      <c r="E30" s="75"/>
      <c r="F30" s="76"/>
      <c r="G30" s="75"/>
      <c r="H30" s="76"/>
      <c r="I30" s="77"/>
      <c r="J30" s="77"/>
      <c r="K30" s="77"/>
      <c r="L30" s="78"/>
    </row>
    <row r="31" spans="1:13">
      <c r="A31" s="79" t="s">
        <v>144</v>
      </c>
      <c r="B31" s="3" t="s">
        <v>171</v>
      </c>
      <c r="C31" s="80"/>
      <c r="D31" s="81" t="s">
        <v>145</v>
      </c>
      <c r="E31" s="82"/>
      <c r="F31" s="3"/>
      <c r="G31" s="82"/>
      <c r="H31" s="83"/>
      <c r="I31" s="84"/>
      <c r="J31" s="85"/>
      <c r="K31" s="86"/>
      <c r="L31" s="87"/>
    </row>
    <row r="32" spans="1:13">
      <c r="A32" s="79" t="s">
        <v>173</v>
      </c>
      <c r="B32" s="3" t="s">
        <v>175</v>
      </c>
      <c r="C32" s="80"/>
      <c r="D32" s="81" t="s">
        <v>145</v>
      </c>
      <c r="E32" s="82"/>
      <c r="F32" s="3"/>
      <c r="G32" s="82"/>
      <c r="H32" s="83"/>
      <c r="I32" s="84"/>
      <c r="J32" s="85"/>
      <c r="K32" s="86"/>
      <c r="L32" s="87"/>
    </row>
    <row r="33" spans="1:12">
      <c r="A33" s="79" t="s">
        <v>174</v>
      </c>
      <c r="B33" s="3" t="s">
        <v>172</v>
      </c>
      <c r="C33" s="80"/>
      <c r="D33" s="81" t="s">
        <v>145</v>
      </c>
      <c r="E33" s="82"/>
      <c r="F33" s="3"/>
      <c r="G33" s="82"/>
      <c r="H33" s="83"/>
      <c r="I33" s="84"/>
      <c r="J33" s="85"/>
      <c r="K33" s="86"/>
      <c r="L33" s="87"/>
    </row>
    <row r="34" spans="1:12">
      <c r="A34" s="71">
        <v>1.2</v>
      </c>
      <c r="B34" s="72" t="s">
        <v>160</v>
      </c>
      <c r="C34" s="73"/>
      <c r="D34" s="74"/>
      <c r="E34" s="75"/>
      <c r="F34" s="76"/>
      <c r="G34" s="75"/>
      <c r="H34" s="76"/>
      <c r="I34" s="77"/>
      <c r="J34" s="77"/>
      <c r="K34" s="77"/>
      <c r="L34" s="78"/>
    </row>
    <row r="35" spans="1:12">
      <c r="A35" s="79" t="s">
        <v>146</v>
      </c>
      <c r="B35" s="3" t="s">
        <v>161</v>
      </c>
      <c r="C35" s="80"/>
      <c r="D35" s="81" t="s">
        <v>145</v>
      </c>
      <c r="E35" s="82"/>
      <c r="F35" s="3"/>
      <c r="G35" s="82"/>
      <c r="H35" s="83"/>
      <c r="I35" s="88"/>
      <c r="J35" s="85"/>
      <c r="K35" s="86"/>
      <c r="L35" s="87"/>
    </row>
    <row r="36" spans="1:12">
      <c r="A36" s="79" t="s">
        <v>147</v>
      </c>
      <c r="B36" s="3" t="s">
        <v>162</v>
      </c>
      <c r="C36" s="80"/>
      <c r="D36" s="81" t="s">
        <v>145</v>
      </c>
      <c r="E36" s="82"/>
      <c r="F36" s="3"/>
      <c r="G36" s="82"/>
      <c r="H36" s="83"/>
      <c r="I36" s="89"/>
      <c r="J36" s="90"/>
      <c r="K36" s="86"/>
      <c r="L36" s="87"/>
    </row>
    <row r="37" spans="1:12">
      <c r="A37" s="79" t="s">
        <v>148</v>
      </c>
      <c r="B37" s="3" t="s">
        <v>163</v>
      </c>
      <c r="C37" s="80"/>
      <c r="D37" s="81" t="s">
        <v>145</v>
      </c>
      <c r="E37" s="82"/>
      <c r="F37" s="3"/>
      <c r="G37" s="82"/>
      <c r="H37" s="83"/>
      <c r="I37" s="88"/>
      <c r="J37" s="85"/>
      <c r="K37" s="86"/>
      <c r="L37" s="87"/>
    </row>
    <row r="38" spans="1:12">
      <c r="A38" s="79" t="s">
        <v>149</v>
      </c>
      <c r="B38" s="3" t="s">
        <v>169</v>
      </c>
      <c r="C38" s="80"/>
      <c r="D38" s="81" t="s">
        <v>145</v>
      </c>
      <c r="E38" s="82"/>
      <c r="F38" s="3"/>
      <c r="G38" s="82"/>
      <c r="H38" s="83"/>
      <c r="I38" s="88"/>
      <c r="J38" s="85"/>
      <c r="K38" s="86"/>
      <c r="L38" s="87"/>
    </row>
    <row r="39" spans="1:12">
      <c r="A39" s="79" t="s">
        <v>150</v>
      </c>
      <c r="B39" s="3" t="s">
        <v>164</v>
      </c>
      <c r="C39" s="80"/>
      <c r="D39" s="81" t="s">
        <v>145</v>
      </c>
      <c r="E39" s="82"/>
      <c r="F39" s="3"/>
      <c r="G39" s="82"/>
      <c r="H39" s="83"/>
      <c r="I39" s="88"/>
      <c r="J39" s="85"/>
      <c r="K39" s="86"/>
      <c r="L39" s="87"/>
    </row>
    <row r="40" spans="1:12">
      <c r="A40" s="79" t="s">
        <v>151</v>
      </c>
      <c r="B40" s="3" t="s">
        <v>165</v>
      </c>
      <c r="C40" s="80"/>
      <c r="D40" s="81" t="s">
        <v>145</v>
      </c>
      <c r="E40" s="82"/>
      <c r="F40" s="3"/>
      <c r="G40" s="82"/>
      <c r="H40" s="83"/>
      <c r="I40" s="88"/>
      <c r="J40" s="85"/>
      <c r="K40" s="86"/>
      <c r="L40" s="87"/>
    </row>
    <row r="41" spans="1:12">
      <c r="A41" s="79" t="s">
        <v>168</v>
      </c>
      <c r="B41" s="3" t="s">
        <v>167</v>
      </c>
      <c r="C41" s="80"/>
      <c r="D41" s="81" t="s">
        <v>145</v>
      </c>
      <c r="E41" s="82"/>
      <c r="F41" s="3"/>
      <c r="G41" s="82"/>
      <c r="H41" s="83"/>
      <c r="I41" s="88"/>
      <c r="J41" s="85"/>
      <c r="K41" s="86"/>
      <c r="L41" s="87"/>
    </row>
    <row r="42" spans="1:12">
      <c r="A42" s="71">
        <v>1.3</v>
      </c>
      <c r="B42" s="72" t="s">
        <v>152</v>
      </c>
      <c r="C42" s="73"/>
      <c r="D42" s="74"/>
      <c r="E42" s="75"/>
      <c r="F42" s="76"/>
      <c r="G42" s="75"/>
      <c r="H42" s="76"/>
      <c r="I42" s="77"/>
      <c r="J42" s="77"/>
      <c r="K42" s="77"/>
      <c r="L42" s="78"/>
    </row>
    <row r="43" spans="1:12">
      <c r="A43" s="91" t="s">
        <v>153</v>
      </c>
      <c r="B43" s="10" t="s">
        <v>155</v>
      </c>
      <c r="C43" s="80"/>
      <c r="D43" s="100" t="s">
        <v>154</v>
      </c>
      <c r="E43" s="93"/>
      <c r="F43" s="94"/>
      <c r="G43" s="93"/>
      <c r="H43" s="94"/>
      <c r="I43" s="95"/>
      <c r="J43" s="96"/>
      <c r="K43" s="97"/>
      <c r="L43" s="98"/>
    </row>
    <row r="44" spans="1:12">
      <c r="A44" s="91" t="s">
        <v>176</v>
      </c>
      <c r="B44" s="3" t="s">
        <v>158</v>
      </c>
      <c r="C44" s="80"/>
      <c r="D44" s="92" t="s">
        <v>154</v>
      </c>
      <c r="E44" s="82"/>
      <c r="F44" s="83"/>
      <c r="G44" s="82"/>
      <c r="H44" s="83"/>
      <c r="I44" s="88"/>
      <c r="J44" s="85"/>
      <c r="K44" s="86"/>
      <c r="L44" s="87"/>
    </row>
    <row r="45" spans="1:12">
      <c r="A45" s="91" t="s">
        <v>177</v>
      </c>
      <c r="B45" s="3" t="s">
        <v>159</v>
      </c>
      <c r="C45" s="80"/>
      <c r="D45" s="92" t="s">
        <v>154</v>
      </c>
      <c r="E45" s="82"/>
      <c r="F45" s="83"/>
      <c r="G45" s="82"/>
      <c r="H45" s="83"/>
      <c r="I45" s="88"/>
      <c r="J45" s="85"/>
      <c r="K45" s="86"/>
      <c r="L45" s="87"/>
    </row>
    <row r="46" spans="1:12">
      <c r="A46" s="91" t="s">
        <v>178</v>
      </c>
      <c r="B46" s="3" t="s">
        <v>166</v>
      </c>
      <c r="C46" s="80"/>
      <c r="D46" s="92" t="s">
        <v>154</v>
      </c>
      <c r="E46" s="82"/>
      <c r="F46" s="83"/>
      <c r="G46" s="82"/>
      <c r="H46" s="83"/>
      <c r="I46" s="88"/>
      <c r="J46" s="85"/>
      <c r="K46" s="86"/>
      <c r="L46" s="87"/>
    </row>
    <row r="47" spans="1:12">
      <c r="A47" s="71">
        <v>1.4</v>
      </c>
      <c r="B47" s="72" t="s">
        <v>113</v>
      </c>
      <c r="C47" s="73"/>
      <c r="D47" s="74"/>
      <c r="E47" s="75"/>
      <c r="F47" s="76"/>
      <c r="G47" s="75"/>
      <c r="H47" s="76"/>
      <c r="I47" s="77"/>
      <c r="J47" s="77"/>
      <c r="K47" s="77"/>
      <c r="L47" s="78"/>
    </row>
    <row r="48" spans="1:12">
      <c r="A48" s="91" t="s">
        <v>179</v>
      </c>
      <c r="B48" s="10" t="s">
        <v>157</v>
      </c>
      <c r="C48" s="99"/>
      <c r="D48" s="100" t="s">
        <v>154</v>
      </c>
      <c r="E48" s="93"/>
      <c r="F48" s="94"/>
      <c r="G48" s="93"/>
      <c r="H48" s="94"/>
      <c r="I48" s="95"/>
      <c r="J48" s="96"/>
      <c r="K48" s="97"/>
      <c r="L48" s="98"/>
    </row>
  </sheetData>
  <mergeCells count="9">
    <mergeCell ref="J26:J28"/>
    <mergeCell ref="K26:K28"/>
    <mergeCell ref="L26:L28"/>
    <mergeCell ref="A26:A28"/>
    <mergeCell ref="B26:B28"/>
    <mergeCell ref="C26:D28"/>
    <mergeCell ref="E26:F28"/>
    <mergeCell ref="G26:H28"/>
    <mergeCell ref="I26:I28"/>
  </mergeCells>
  <phoneticPr fontId="31" type="noConversion"/>
  <conditionalFormatting sqref="A48:E48">
    <cfRule type="expression" dxfId="6" priority="1" stopIfTrue="1">
      <formula>IF(OR($L48=0,NOT(ISNUMBER($L48))),TRUE,FALSE)</formula>
    </cfRule>
  </conditionalFormatting>
  <conditionalFormatting sqref="A31:K33 A35:K41 A43:E46">
    <cfRule type="expression" dxfId="5" priority="9" stopIfTrue="1">
      <formula>IF(OR($L31=0,NOT(ISNUMBER($L31))),TRUE,FALSE)</formula>
    </cfRule>
  </conditionalFormatting>
  <conditionalFormatting sqref="G43:K46">
    <cfRule type="expression" dxfId="4" priority="6" stopIfTrue="1">
      <formula>IF(OR($L43=0,NOT(ISNUMBER($L43))),TRUE,FALSE)</formula>
    </cfRule>
  </conditionalFormatting>
  <conditionalFormatting sqref="G48:K48">
    <cfRule type="expression" dxfId="3" priority="3" stopIfTrue="1">
      <formula>IF(OR($L48=0,NOT(ISNUMBER($L48))),TRUE,FALSE)</formula>
    </cfRule>
  </conditionalFormatting>
  <conditionalFormatting sqref="I36:J36">
    <cfRule type="expression" dxfId="2" priority="5" stopIfTrue="1">
      <formula>IF(OR($L36=0,NOT(ISNUMBER($L36))),TRUE,FALSE)</formula>
    </cfRule>
  </conditionalFormatting>
  <conditionalFormatting sqref="L30:L48">
    <cfRule type="cellIs" dxfId="1" priority="10" stopIfTrue="1" operator="equal">
      <formula>0</formula>
    </cfRule>
    <cfRule type="cellIs" dxfId="0" priority="11" stopIfTrue="1" operator="equal">
      <formula>"x"</formula>
    </cfRule>
  </conditionalFormatting>
  <hyperlinks>
    <hyperlink ref="M21" location="INPUT!B15" display="INPUT" xr:uid="{0EE55834-B258-4F11-994F-5420CBAF809A}"/>
  </hyperlink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3B635-F985-401B-A3ED-8540A50A2B25}">
  <sheetPr codeName="Sheet4"/>
  <dimension ref="A1:F21"/>
  <sheetViews>
    <sheetView workbookViewId="0">
      <pane ySplit="4" topLeftCell="A5" activePane="bottomLeft" state="frozen"/>
      <selection pane="bottomLeft" activeCell="B21" sqref="B21"/>
    </sheetView>
  </sheetViews>
  <sheetFormatPr defaultRowHeight="12.5"/>
  <cols>
    <col min="1" max="1" width="45.81640625" style="1" customWidth="1"/>
    <col min="2" max="2" width="18.36328125" style="1" customWidth="1"/>
    <col min="3" max="3" width="12.08984375" style="1" customWidth="1"/>
    <col min="4" max="4" width="8.7265625" style="1"/>
    <col min="5" max="5" width="19.08984375" style="1" customWidth="1"/>
    <col min="6" max="16384" width="8.7265625" style="1"/>
  </cols>
  <sheetData>
    <row r="1" spans="1:6" s="22" customFormat="1" ht="13">
      <c r="A1" s="3" t="s">
        <v>36</v>
      </c>
      <c r="B1" s="5"/>
      <c r="D1" s="6"/>
    </row>
    <row r="2" spans="1:6" s="22" customFormat="1" ht="13">
      <c r="A2" s="7" t="s">
        <v>37</v>
      </c>
      <c r="B2" s="5"/>
      <c r="D2" s="6"/>
    </row>
    <row r="3" spans="1:6" s="22" customFormat="1" ht="13">
      <c r="A3" s="7"/>
      <c r="B3" s="5"/>
      <c r="D3" s="6"/>
    </row>
    <row r="4" spans="1:6" s="22" customFormat="1" ht="13">
      <c r="A4" s="8" t="s">
        <v>38</v>
      </c>
      <c r="B4" s="8" t="s">
        <v>39</v>
      </c>
      <c r="C4" s="9" t="s">
        <v>9</v>
      </c>
      <c r="D4" s="8" t="s">
        <v>10</v>
      </c>
      <c r="E4" s="8" t="s">
        <v>40</v>
      </c>
    </row>
    <row r="5" spans="1:6" s="22" customFormat="1">
      <c r="A5" s="16" t="s">
        <v>41</v>
      </c>
      <c r="C5" s="6"/>
      <c r="D5" s="6"/>
      <c r="E5" s="6"/>
    </row>
    <row r="6" spans="1:6" ht="13">
      <c r="A6" s="18" t="s">
        <v>46</v>
      </c>
      <c r="B6" s="10" t="s">
        <v>73</v>
      </c>
      <c r="C6" s="22">
        <f>manually_input_irrigated_acreage*40470000</f>
        <v>485640000</v>
      </c>
      <c r="D6" s="11" t="s">
        <v>57</v>
      </c>
      <c r="E6" s="7" t="s">
        <v>41</v>
      </c>
    </row>
    <row r="7" spans="1:6" ht="13">
      <c r="A7" s="18" t="s">
        <v>26</v>
      </c>
      <c r="B7" s="10" t="s">
        <v>47</v>
      </c>
      <c r="C7" s="22">
        <f>IF(irrigation_rate_units="MGD",manually_input_irrigation_rate*3785411800,IF(irrigation_rate_units="gpd",manually_input_irrigation_rate*2.6287581833,IF(irrigation_rate_units="L/s",manually_input_irrigation_rate*60000, IF(irrigation_rate_units="m^3/s",manually_input_irrigation_rate*60000000, manually_input_irrigation_rate))))</f>
        <v>2640000</v>
      </c>
      <c r="D7" s="11" t="s">
        <v>56</v>
      </c>
      <c r="E7" s="7" t="s">
        <v>41</v>
      </c>
    </row>
    <row r="8" spans="1:6" ht="13">
      <c r="A8" s="12" t="s">
        <v>11</v>
      </c>
      <c r="B8" s="10" t="s">
        <v>48</v>
      </c>
      <c r="C8" s="6">
        <v>4</v>
      </c>
      <c r="D8" s="11" t="s">
        <v>190</v>
      </c>
    </row>
    <row r="9" spans="1:6" ht="13">
      <c r="A9" s="12" t="s">
        <v>68</v>
      </c>
      <c r="B9" s="10" t="s">
        <v>69</v>
      </c>
      <c r="C9" s="1">
        <f>IF(manually_input_contaminant_concentration_unit="g/L",manually_input_contaminant_concentration*1000,manually_input_contaminant_concentration)</f>
        <v>2.8495864160730204</v>
      </c>
      <c r="D9" s="1" t="s">
        <v>22</v>
      </c>
    </row>
    <row r="10" spans="1:6" ht="13">
      <c r="A10" s="12" t="s">
        <v>51</v>
      </c>
      <c r="B10" s="10" t="s">
        <v>50</v>
      </c>
      <c r="C10" s="6">
        <v>2</v>
      </c>
      <c r="D10" s="11" t="s">
        <v>52</v>
      </c>
    </row>
    <row r="11" spans="1:6" ht="13">
      <c r="A11" s="23" t="s">
        <v>42</v>
      </c>
      <c r="B11" s="5" t="s">
        <v>43</v>
      </c>
      <c r="C11" s="6">
        <v>1</v>
      </c>
      <c r="D11" s="6" t="s">
        <v>49</v>
      </c>
    </row>
    <row r="12" spans="1:6" ht="13">
      <c r="A12" s="12" t="s">
        <v>44</v>
      </c>
      <c r="B12" s="10" t="s">
        <v>14</v>
      </c>
      <c r="C12" s="24" cm="1">
        <f t="array" ref="C12">iwsz_volume/flow_rate</f>
        <v>363.31022727272727</v>
      </c>
      <c r="D12" s="6" t="s">
        <v>45</v>
      </c>
    </row>
    <row r="14" spans="1:6">
      <c r="A14" s="17" t="s">
        <v>59</v>
      </c>
    </row>
    <row r="15" spans="1:6" ht="13">
      <c r="A15" s="12" t="s">
        <v>60</v>
      </c>
      <c r="B15" s="10" t="s">
        <v>62</v>
      </c>
      <c r="C15" s="1">
        <f>IF(target_contaminant=1,54,79)</f>
        <v>79</v>
      </c>
      <c r="D15" s="1" t="s">
        <v>75</v>
      </c>
      <c r="E15" s="45" t="s">
        <v>61</v>
      </c>
      <c r="F15" s="2" t="str">
        <f>IF(target_contaminant=1,"Lower","Upper")</f>
        <v>Upper</v>
      </c>
    </row>
    <row r="16" spans="1:6" ht="13">
      <c r="A16" s="12" t="s">
        <v>16</v>
      </c>
      <c r="B16" s="10" t="s">
        <v>64</v>
      </c>
      <c r="C16" s="1">
        <v>61</v>
      </c>
      <c r="D16" s="1" t="s">
        <v>75</v>
      </c>
      <c r="E16" s="46"/>
      <c r="F16" s="2"/>
    </row>
    <row r="17" spans="1:6" ht="13">
      <c r="A17" s="12" t="s">
        <v>15</v>
      </c>
      <c r="B17" s="10" t="s">
        <v>63</v>
      </c>
      <c r="C17" s="1">
        <v>61</v>
      </c>
      <c r="D17" s="1" t="s">
        <v>75</v>
      </c>
      <c r="E17" s="46"/>
      <c r="F17" s="2"/>
    </row>
    <row r="18" spans="1:6" ht="13">
      <c r="A18" s="12" t="s">
        <v>76</v>
      </c>
      <c r="B18" s="10" t="s">
        <v>79</v>
      </c>
      <c r="C18" s="1">
        <f>length*width</f>
        <v>3721</v>
      </c>
      <c r="D18" s="1" t="s">
        <v>57</v>
      </c>
      <c r="E18" s="46"/>
      <c r="F18" s="2"/>
    </row>
    <row r="19" spans="1:6" ht="13">
      <c r="A19" s="12" t="s">
        <v>77</v>
      </c>
      <c r="B19" s="10" t="s">
        <v>78</v>
      </c>
      <c r="C19" s="1">
        <f>height*area</f>
        <v>293959</v>
      </c>
      <c r="D19" s="1" t="s">
        <v>80</v>
      </c>
      <c r="E19" s="46"/>
      <c r="F19" s="2"/>
    </row>
    <row r="20" spans="1:6" ht="13">
      <c r="A20" s="12" t="s">
        <v>82</v>
      </c>
      <c r="B20" s="10" t="s">
        <v>83</v>
      </c>
      <c r="C20" s="42">
        <f>irrigation_rate/(irrigated_area*IF(size=1,0.01,IF(size=2,0.025,0.05)))</f>
        <v>0.21744502100321225</v>
      </c>
      <c r="D20" s="1" t="s">
        <v>74</v>
      </c>
      <c r="E20" s="45" t="s">
        <v>119</v>
      </c>
      <c r="F20" s="2" t="str">
        <f>IF(size=3,"Low",IF(size=2,"Medium","High"))</f>
        <v>Medium</v>
      </c>
    </row>
    <row r="21" spans="1:6" ht="13">
      <c r="A21" s="12" t="s">
        <v>81</v>
      </c>
      <c r="B21" s="10" t="s">
        <v>84</v>
      </c>
      <c r="C21" s="43">
        <f>hlr*area</f>
        <v>809.11292315295282</v>
      </c>
      <c r="D21" s="1" t="s">
        <v>56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4B7B-A16F-49E4-A1CD-AA35B173738B}">
  <sheetPr codeName="Sheet5"/>
  <dimension ref="A1:H57"/>
  <sheetViews>
    <sheetView workbookViewId="0">
      <pane ySplit="3" topLeftCell="A4" activePane="bottomLeft" state="frozen"/>
      <selection pane="bottomLeft" activeCell="F54" sqref="F54"/>
    </sheetView>
  </sheetViews>
  <sheetFormatPr defaultRowHeight="14.5"/>
  <cols>
    <col min="1" max="1" width="25.81640625" customWidth="1"/>
    <col min="2" max="2" width="8.7265625" customWidth="1"/>
    <col min="6" max="6" width="12.453125" customWidth="1"/>
    <col min="11" max="11" width="9.81640625" bestFit="1" customWidth="1"/>
  </cols>
  <sheetData>
    <row r="1" spans="1:6">
      <c r="A1" s="3" t="s">
        <v>24</v>
      </c>
    </row>
    <row r="2" spans="1:6">
      <c r="A2" s="4" t="s">
        <v>25</v>
      </c>
    </row>
    <row r="4" spans="1:6">
      <c r="A4" s="14" t="s">
        <v>26</v>
      </c>
      <c r="B4" s="1"/>
      <c r="C4" s="1"/>
    </row>
    <row r="5" spans="1:6">
      <c r="A5" s="1">
        <v>1</v>
      </c>
      <c r="B5" s="1" t="s">
        <v>21</v>
      </c>
      <c r="C5" s="1"/>
    </row>
    <row r="6" spans="1:6">
      <c r="A6" s="1">
        <v>2</v>
      </c>
      <c r="B6" s="1" t="s">
        <v>27</v>
      </c>
    </row>
    <row r="7" spans="1:6">
      <c r="A7">
        <v>3</v>
      </c>
      <c r="B7" t="s">
        <v>183</v>
      </c>
    </row>
    <row r="8" spans="1:6">
      <c r="A8">
        <v>4</v>
      </c>
      <c r="B8" t="s">
        <v>55</v>
      </c>
    </row>
    <row r="9" spans="1:6">
      <c r="A9">
        <v>5</v>
      </c>
      <c r="B9" s="1" t="s">
        <v>58</v>
      </c>
    </row>
    <row r="10" spans="1:6">
      <c r="A10">
        <v>6</v>
      </c>
      <c r="B10" s="1" t="s">
        <v>56</v>
      </c>
    </row>
    <row r="11" spans="1:6">
      <c r="A11" s="14" t="s">
        <v>181</v>
      </c>
      <c r="B11" s="1"/>
    </row>
    <row r="12" spans="1:6">
      <c r="A12">
        <v>1</v>
      </c>
      <c r="B12" s="1">
        <f>8000*manually_input_irrigated_acreage</f>
        <v>96000</v>
      </c>
      <c r="C12" t="s">
        <v>183</v>
      </c>
      <c r="E12">
        <v>8000</v>
      </c>
      <c r="F12" t="s">
        <v>182</v>
      </c>
    </row>
    <row r="13" spans="1:6">
      <c r="A13" s="14" t="s">
        <v>11</v>
      </c>
      <c r="B13" s="1"/>
    </row>
    <row r="14" spans="1:6">
      <c r="A14" s="1">
        <v>1</v>
      </c>
      <c r="B14" s="1" t="s">
        <v>28</v>
      </c>
    </row>
    <row r="15" spans="1:6">
      <c r="A15" s="1">
        <v>2</v>
      </c>
      <c r="B15" s="1" t="s">
        <v>32</v>
      </c>
      <c r="C15" s="1"/>
    </row>
    <row r="16" spans="1:6">
      <c r="A16" s="1">
        <v>3</v>
      </c>
      <c r="B16" s="1" t="s">
        <v>29</v>
      </c>
      <c r="C16" s="1"/>
    </row>
    <row r="17" spans="1:7">
      <c r="A17" s="1">
        <v>4</v>
      </c>
      <c r="B17" s="1" t="s">
        <v>189</v>
      </c>
      <c r="C17" s="1"/>
    </row>
    <row r="18" spans="1:7">
      <c r="A18" s="1">
        <v>5</v>
      </c>
      <c r="B18" s="1" t="s">
        <v>191</v>
      </c>
      <c r="C18" s="1"/>
    </row>
    <row r="19" spans="1:7">
      <c r="A19" s="1">
        <v>6</v>
      </c>
      <c r="B19" s="1" t="s">
        <v>30</v>
      </c>
      <c r="C19" s="1"/>
    </row>
    <row r="20" spans="1:7">
      <c r="A20" s="14" t="s">
        <v>68</v>
      </c>
      <c r="C20" s="1"/>
    </row>
    <row r="21" spans="1:7">
      <c r="A21" s="1">
        <v>1</v>
      </c>
      <c r="B21" s="1" t="s">
        <v>22</v>
      </c>
      <c r="C21" s="1"/>
    </row>
    <row r="22" spans="1:7">
      <c r="A22" s="1">
        <v>2</v>
      </c>
      <c r="B22" s="1" t="s">
        <v>71</v>
      </c>
      <c r="C22" s="1"/>
    </row>
    <row r="23" spans="1:7">
      <c r="A23" s="14" t="s">
        <v>125</v>
      </c>
    </row>
    <row r="24" spans="1:7">
      <c r="A24" s="1">
        <v>1</v>
      </c>
      <c r="B24" s="41">
        <v>0.22703726306231986</v>
      </c>
      <c r="C24" s="1" t="s">
        <v>28</v>
      </c>
      <c r="D24" t="s">
        <v>22</v>
      </c>
      <c r="E24" s="41">
        <v>0.22703726306231986</v>
      </c>
      <c r="F24" s="41"/>
      <c r="G24" s="1"/>
    </row>
    <row r="25" spans="1:7">
      <c r="A25" s="1">
        <v>2</v>
      </c>
      <c r="B25" s="41">
        <v>6.2561942124058731E-2</v>
      </c>
      <c r="C25" s="1" t="s">
        <v>32</v>
      </c>
      <c r="D25" t="s">
        <v>22</v>
      </c>
      <c r="E25" s="41">
        <v>6.2561942124058731E-2</v>
      </c>
      <c r="F25" s="41"/>
      <c r="G25" s="1"/>
    </row>
    <row r="26" spans="1:7">
      <c r="A26" s="1">
        <v>3</v>
      </c>
      <c r="B26" s="41">
        <v>2.5599872108866415</v>
      </c>
      <c r="C26" s="1" t="s">
        <v>29</v>
      </c>
      <c r="D26" t="s">
        <v>22</v>
      </c>
      <c r="E26" s="41">
        <v>2.5599872108866415</v>
      </c>
      <c r="F26" s="41"/>
      <c r="G26" s="1"/>
    </row>
    <row r="27" spans="1:7">
      <c r="A27" s="1">
        <v>4</v>
      </c>
      <c r="B27" s="41">
        <v>2.8495864160730204</v>
      </c>
      <c r="C27" s="1" t="s">
        <v>189</v>
      </c>
      <c r="D27" t="s">
        <v>22</v>
      </c>
      <c r="E27" s="41">
        <v>2.8379435150125976</v>
      </c>
      <c r="F27" s="41"/>
      <c r="G27" s="1"/>
    </row>
    <row r="28" spans="1:7">
      <c r="A28" s="1">
        <v>5</v>
      </c>
      <c r="B28" s="41">
        <v>2.6592899270944419</v>
      </c>
      <c r="C28" s="1" t="s">
        <v>191</v>
      </c>
      <c r="D28" t="s">
        <v>22</v>
      </c>
      <c r="E28" s="41">
        <v>2.6592899270944419</v>
      </c>
      <c r="F28" s="41"/>
      <c r="G28" s="1"/>
    </row>
    <row r="29" spans="1:7">
      <c r="A29" s="1">
        <v>6</v>
      </c>
      <c r="B29" s="41">
        <v>1.0253109676919201</v>
      </c>
      <c r="C29" s="1" t="s">
        <v>30</v>
      </c>
      <c r="D29" t="s">
        <v>22</v>
      </c>
      <c r="E29" s="41">
        <v>1.0253109676919201</v>
      </c>
      <c r="F29" s="41"/>
      <c r="G29" s="1"/>
    </row>
    <row r="30" spans="1:7">
      <c r="A30" s="14" t="s">
        <v>51</v>
      </c>
      <c r="B30" s="1"/>
      <c r="C30" s="1"/>
    </row>
    <row r="31" spans="1:7">
      <c r="A31" s="1">
        <v>1</v>
      </c>
      <c r="B31" s="13">
        <v>0.01</v>
      </c>
      <c r="C31" s="1"/>
    </row>
    <row r="32" spans="1:7">
      <c r="A32" s="1">
        <v>2</v>
      </c>
      <c r="B32" s="15">
        <v>2.5000000000000001E-2</v>
      </c>
      <c r="C32" s="1"/>
    </row>
    <row r="33" spans="1:8">
      <c r="A33" s="1">
        <v>3</v>
      </c>
      <c r="B33" s="13">
        <v>0.05</v>
      </c>
      <c r="C33" s="1"/>
    </row>
    <row r="34" spans="1:8">
      <c r="A34" s="14" t="s">
        <v>31</v>
      </c>
      <c r="B34" s="1"/>
      <c r="C34" s="1"/>
    </row>
    <row r="35" spans="1:8">
      <c r="A35" s="1">
        <v>1</v>
      </c>
      <c r="B35" s="1" t="s">
        <v>33</v>
      </c>
      <c r="C35" s="1"/>
    </row>
    <row r="36" spans="1:8">
      <c r="A36" s="1">
        <v>2</v>
      </c>
      <c r="B36" s="1" t="s">
        <v>34</v>
      </c>
      <c r="C36" s="1"/>
    </row>
    <row r="37" spans="1:8">
      <c r="A37" s="1">
        <v>3</v>
      </c>
      <c r="B37" s="1" t="s">
        <v>35</v>
      </c>
    </row>
    <row r="38" spans="1:8">
      <c r="A38" s="14" t="s">
        <v>60</v>
      </c>
      <c r="B38" s="1"/>
    </row>
    <row r="39" spans="1:8">
      <c r="A39" s="1">
        <v>1</v>
      </c>
      <c r="B39" s="1" t="s">
        <v>66</v>
      </c>
    </row>
    <row r="40" spans="1:8">
      <c r="A40" s="1">
        <v>2</v>
      </c>
      <c r="B40" s="1" t="s">
        <v>67</v>
      </c>
    </row>
    <row r="41" spans="1:8">
      <c r="A41" s="14" t="s">
        <v>115</v>
      </c>
    </row>
    <row r="42" spans="1:8">
      <c r="A42" s="1">
        <v>1</v>
      </c>
      <c r="B42" s="1" t="s">
        <v>116</v>
      </c>
    </row>
    <row r="43" spans="1:8">
      <c r="A43" s="1">
        <v>2</v>
      </c>
      <c r="B43" s="1" t="s">
        <v>117</v>
      </c>
    </row>
    <row r="44" spans="1:8">
      <c r="A44" s="1">
        <v>3</v>
      </c>
      <c r="B44" s="1" t="s">
        <v>118</v>
      </c>
    </row>
    <row r="45" spans="1:8">
      <c r="A45" s="14" t="s">
        <v>87</v>
      </c>
      <c r="B45" s="1" t="s">
        <v>98</v>
      </c>
      <c r="C45" t="s">
        <v>99</v>
      </c>
      <c r="D45" t="s">
        <v>124</v>
      </c>
      <c r="E45" t="s">
        <v>101</v>
      </c>
      <c r="F45" t="s">
        <v>100</v>
      </c>
      <c r="G45" t="s">
        <v>121</v>
      </c>
    </row>
    <row r="46" spans="1:8">
      <c r="A46" s="1">
        <v>1</v>
      </c>
      <c r="B46" s="19">
        <v>0.82199999999999995</v>
      </c>
      <c r="C46">
        <v>0.74650000000000005</v>
      </c>
      <c r="D46">
        <v>0.96</v>
      </c>
      <c r="E46" t="s">
        <v>102</v>
      </c>
      <c r="F46" t="s">
        <v>28</v>
      </c>
      <c r="G46" t="s">
        <v>122</v>
      </c>
      <c r="H46" t="s">
        <v>127</v>
      </c>
    </row>
    <row r="47" spans="1:8">
      <c r="A47" s="1">
        <v>2</v>
      </c>
      <c r="B47">
        <v>0.28660000000000002</v>
      </c>
      <c r="C47">
        <v>0.1565</v>
      </c>
      <c r="D47">
        <v>0.82</v>
      </c>
      <c r="E47" t="s">
        <v>103</v>
      </c>
      <c r="F47" t="s">
        <v>28</v>
      </c>
      <c r="G47" t="s">
        <v>122</v>
      </c>
      <c r="H47" t="s">
        <v>127</v>
      </c>
    </row>
    <row r="48" spans="1:8">
      <c r="A48" s="1">
        <v>3</v>
      </c>
      <c r="B48">
        <v>0.57940000000000003</v>
      </c>
      <c r="C48">
        <v>1.2800000000000001E-2</v>
      </c>
      <c r="D48">
        <v>0.99</v>
      </c>
      <c r="E48" t="s">
        <v>102</v>
      </c>
      <c r="F48" t="s">
        <v>32</v>
      </c>
      <c r="G48" t="s">
        <v>122</v>
      </c>
      <c r="H48" t="s">
        <v>126</v>
      </c>
    </row>
    <row r="49" spans="1:8">
      <c r="A49" s="1">
        <v>4</v>
      </c>
      <c r="B49">
        <v>0.36620000000000003</v>
      </c>
      <c r="C49">
        <v>0.64680000000000004</v>
      </c>
      <c r="D49">
        <v>0.04</v>
      </c>
      <c r="E49" t="s">
        <v>103</v>
      </c>
      <c r="F49" t="s">
        <v>32</v>
      </c>
      <c r="G49" t="s">
        <v>122</v>
      </c>
      <c r="H49" t="s">
        <v>128</v>
      </c>
    </row>
    <row r="50" spans="1:8">
      <c r="A50" s="1">
        <v>5</v>
      </c>
      <c r="B50">
        <v>0.42180000000000001</v>
      </c>
      <c r="C50">
        <v>4.2695999999999996</v>
      </c>
      <c r="D50">
        <v>0.88</v>
      </c>
      <c r="E50" t="s">
        <v>102</v>
      </c>
      <c r="F50" t="s">
        <v>29</v>
      </c>
      <c r="G50" t="s">
        <v>122</v>
      </c>
      <c r="H50" t="s">
        <v>127</v>
      </c>
    </row>
    <row r="51" spans="1:8">
      <c r="A51" s="1">
        <v>6</v>
      </c>
      <c r="B51" s="19">
        <v>0.21</v>
      </c>
      <c r="C51">
        <v>3.8388</v>
      </c>
      <c r="D51">
        <v>0.64</v>
      </c>
      <c r="E51" t="s">
        <v>103</v>
      </c>
      <c r="F51" t="s">
        <v>29</v>
      </c>
      <c r="G51" t="s">
        <v>122</v>
      </c>
      <c r="H51" t="s">
        <v>127</v>
      </c>
    </row>
    <row r="52" spans="1:8">
      <c r="A52" s="1">
        <v>7</v>
      </c>
      <c r="B52">
        <v>5.2342000000000004</v>
      </c>
      <c r="C52">
        <v>-4.4268999999999998</v>
      </c>
      <c r="D52">
        <v>0.88</v>
      </c>
      <c r="E52" t="s">
        <v>102</v>
      </c>
      <c r="F52" t="s">
        <v>189</v>
      </c>
      <c r="G52" t="s">
        <v>123</v>
      </c>
      <c r="H52" t="s">
        <v>127</v>
      </c>
    </row>
    <row r="53" spans="1:8">
      <c r="A53" s="1">
        <v>8</v>
      </c>
      <c r="B53">
        <v>3.8628999999999998</v>
      </c>
      <c r="C53">
        <v>-3.4619</v>
      </c>
      <c r="D53">
        <v>0.75</v>
      </c>
      <c r="E53" t="s">
        <v>103</v>
      </c>
      <c r="F53" t="s">
        <v>189</v>
      </c>
      <c r="G53" t="s">
        <v>123</v>
      </c>
      <c r="H53" t="s">
        <v>127</v>
      </c>
    </row>
    <row r="54" spans="1:8">
      <c r="A54" s="1">
        <v>9</v>
      </c>
      <c r="B54">
        <v>7.7854000000000001</v>
      </c>
      <c r="C54">
        <v>-7.5317999999999996</v>
      </c>
      <c r="D54">
        <v>0.85</v>
      </c>
      <c r="E54" t="s">
        <v>102</v>
      </c>
      <c r="F54" t="s">
        <v>191</v>
      </c>
      <c r="G54" t="s">
        <v>123</v>
      </c>
      <c r="H54" t="s">
        <v>127</v>
      </c>
    </row>
    <row r="55" spans="1:8">
      <c r="A55" s="1">
        <v>10</v>
      </c>
      <c r="B55">
        <v>6.1601999999999997</v>
      </c>
      <c r="C55">
        <v>-6.4535</v>
      </c>
      <c r="D55">
        <v>0.81</v>
      </c>
      <c r="E55" t="s">
        <v>103</v>
      </c>
      <c r="F55" t="s">
        <v>191</v>
      </c>
      <c r="G55" t="s">
        <v>123</v>
      </c>
      <c r="H55" t="s">
        <v>127</v>
      </c>
    </row>
    <row r="56" spans="1:8">
      <c r="A56" s="1">
        <v>11</v>
      </c>
      <c r="B56">
        <v>0.33450000000000002</v>
      </c>
      <c r="C56">
        <v>1.2081999999999999</v>
      </c>
      <c r="D56" s="41">
        <v>0.7</v>
      </c>
      <c r="E56" t="s">
        <v>102</v>
      </c>
      <c r="F56" t="s">
        <v>30</v>
      </c>
      <c r="G56" t="s">
        <v>122</v>
      </c>
      <c r="H56" t="s">
        <v>127</v>
      </c>
    </row>
    <row r="57" spans="1:8">
      <c r="A57" s="1">
        <v>12</v>
      </c>
      <c r="B57">
        <v>0.38009999999999999</v>
      </c>
      <c r="C57">
        <v>0.65810000000000002</v>
      </c>
      <c r="D57">
        <v>0.77</v>
      </c>
      <c r="E57" t="s">
        <v>103</v>
      </c>
      <c r="F57" t="s">
        <v>30</v>
      </c>
      <c r="G57" t="s">
        <v>122</v>
      </c>
      <c r="H57" t="s">
        <v>127</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55</vt:i4>
      </vt:variant>
    </vt:vector>
  </HeadingPairs>
  <TitlesOfParts>
    <vt:vector size="60" baseType="lpstr">
      <vt:lpstr>Title Page</vt:lpstr>
      <vt:lpstr>INPUT</vt:lpstr>
      <vt:lpstr>OUTPUT</vt:lpstr>
      <vt:lpstr>Bioretention Constraints</vt:lpstr>
      <vt:lpstr>Lookup Tables</vt:lpstr>
      <vt:lpstr>area</vt:lpstr>
      <vt:lpstr>default_nh4_mgl</vt:lpstr>
      <vt:lpstr>default_nitrate_nitrite_mgl</vt:lpstr>
      <vt:lpstr>default_no2_mgl</vt:lpstr>
      <vt:lpstr>default_no3_mgl</vt:lpstr>
      <vt:lpstr>default_tin_mgl</vt:lpstr>
      <vt:lpstr>default_tp_mgl</vt:lpstr>
      <vt:lpstr>design_type</vt:lpstr>
      <vt:lpstr>EBCT</vt:lpstr>
      <vt:lpstr>flow_rate</vt:lpstr>
      <vt:lpstr>height</vt:lpstr>
      <vt:lpstr>hlr</vt:lpstr>
      <vt:lpstr>hydraulic_loading_rate</vt:lpstr>
      <vt:lpstr>influent_contaminant_concentration</vt:lpstr>
      <vt:lpstr>intercept_cba_nh4</vt:lpstr>
      <vt:lpstr>intercept_cba_nitrate_nitrite</vt:lpstr>
      <vt:lpstr>intercept_cba_no2</vt:lpstr>
      <vt:lpstr>intercept_cba_no3</vt:lpstr>
      <vt:lpstr>intercept_cba_tin</vt:lpstr>
      <vt:lpstr>intercept_cba_tp</vt:lpstr>
      <vt:lpstr>intercept_pba_nh4</vt:lpstr>
      <vt:lpstr>intercept_pba_nitrate_nitrite</vt:lpstr>
      <vt:lpstr>intercept_pba_no2</vt:lpstr>
      <vt:lpstr>intercept_pba_no3</vt:lpstr>
      <vt:lpstr>intercept_pba_tin</vt:lpstr>
      <vt:lpstr>intercept_pba_tp</vt:lpstr>
      <vt:lpstr>irrigated_area</vt:lpstr>
      <vt:lpstr>irrigated_area_units</vt:lpstr>
      <vt:lpstr>irrigation_rate</vt:lpstr>
      <vt:lpstr>irrigation_rate_units</vt:lpstr>
      <vt:lpstr>iwsz_volume</vt:lpstr>
      <vt:lpstr>length</vt:lpstr>
      <vt:lpstr>manually_input_contaminant_concentration</vt:lpstr>
      <vt:lpstr>manually_input_contaminant_concentration_unit</vt:lpstr>
      <vt:lpstr>manually_input_irrigated_acreage</vt:lpstr>
      <vt:lpstr>manually_input_irrigation_rate</vt:lpstr>
      <vt:lpstr>NLR</vt:lpstr>
      <vt:lpstr>NRR</vt:lpstr>
      <vt:lpstr>outlet_height</vt:lpstr>
      <vt:lpstr>size</vt:lpstr>
      <vt:lpstr>slope_cba_nh4</vt:lpstr>
      <vt:lpstr>slope_cba_nitrate_nitrite</vt:lpstr>
      <vt:lpstr>slope_cba_no2</vt:lpstr>
      <vt:lpstr>slope_cba_no3</vt:lpstr>
      <vt:lpstr>slope_cba_tin</vt:lpstr>
      <vt:lpstr>slope_cba_tp</vt:lpstr>
      <vt:lpstr>slope_pba_nh4</vt:lpstr>
      <vt:lpstr>slope_pba_nitrate_nitrite</vt:lpstr>
      <vt:lpstr>slope_pba_no2</vt:lpstr>
      <vt:lpstr>slope_pba_no3</vt:lpstr>
      <vt:lpstr>slope_pba_tin</vt:lpstr>
      <vt:lpstr>slope_pba_tp</vt:lpstr>
      <vt:lpstr>ss_cat</vt:lpstr>
      <vt:lpstr>target_contaminant</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Natchaya Luangphairin</dc:creator>
  <cp:lastModifiedBy>Natchaya Luangphairin</cp:lastModifiedBy>
  <dcterms:created xsi:type="dcterms:W3CDTF">2024-06-06T18:52:53Z</dcterms:created>
  <dcterms:modified xsi:type="dcterms:W3CDTF">2024-08-01T03:07:19Z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cost_cl" linkTarget="prop_fm_cost_cl">
    <vt:r8>0</vt:r8>
  </property>
  <property fmtid="{D5CDD505-2E9C-101B-9397-08002B2CF9AE}" pid="3" name="fm_eq_back" linkTarget="prop_fm_eq_back">
    <vt:r8>0</vt:r8>
  </property>
  <property fmtid="{D5CDD505-2E9C-101B-9397-08002B2CF9AE}" pid="4" name="fm_eq_in" linkTarget="prop_fm_eq_in">
    <vt:r8>0</vt:r8>
  </property>
  <property fmtid="{D5CDD505-2E9C-101B-9397-08002B2CF9AE}" pid="5" name="fm_eq_proc" linkTarget="prop_fm_eq_proc">
    <vt:r8>0</vt:r8>
  </property>
  <property fmtid="{D5CDD505-2E9C-101B-9397-08002B2CF9AE}" pid="6" name="fm_eq_res" linkTarget="prop_fm_eq_res">
    <vt:r8>0</vt:r8>
  </property>
</Properties>
</file>